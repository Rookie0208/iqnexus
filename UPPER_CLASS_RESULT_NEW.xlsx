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48EF0C82-E200-4EF4-9AE4-225820791773}" xr6:coauthVersionLast="36" xr6:coauthVersionMax="36" xr10:uidLastSave="{00000000-0000-0000-0000-000000000000}"/>
  <bookViews>
    <workbookView xWindow="0" yWindow="0" windowWidth="20490" windowHeight="7425" xr2:uid="{E19C7DE9-3582-43CC-A5EE-A38652BF694E}"/>
  </bookViews>
  <sheets>
    <sheet name="upload" sheetId="4" r:id="rId1"/>
    <sheet name="download" sheetId="1" r:id="rId2"/>
    <sheet name="prize fill" sheetId="2" r:id="rId3"/>
    <sheet name="prize tag" sheetId="3" r:id="rId4"/>
  </sheets>
  <definedNames>
    <definedName name="_xlnm._FilterDatabase" localSheetId="1" hidden="1">download!$A$1:$T$146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1" l="1"/>
  <c r="R16" i="1"/>
  <c r="R14" i="1"/>
  <c r="R13" i="1"/>
  <c r="R11" i="1"/>
  <c r="R10" i="1"/>
  <c r="R9" i="1"/>
  <c r="R6" i="1"/>
  <c r="R4" i="1"/>
  <c r="R2" i="1"/>
  <c r="S17" i="1"/>
  <c r="S16" i="1"/>
  <c r="S14" i="1"/>
  <c r="S13" i="1"/>
  <c r="S11" i="1"/>
  <c r="S10" i="1"/>
  <c r="S9" i="1"/>
  <c r="S6" i="1"/>
  <c r="S4" i="1"/>
  <c r="S2" i="1"/>
  <c r="R51" i="1" l="1"/>
  <c r="R52" i="1"/>
  <c r="R53" i="1"/>
  <c r="R54" i="1"/>
  <c r="R55" i="1"/>
  <c r="R56" i="1"/>
  <c r="R57" i="1"/>
  <c r="R58" i="1"/>
  <c r="R59" i="1"/>
  <c r="R60" i="1"/>
  <c r="R61" i="1"/>
  <c r="R62" i="1"/>
  <c r="R50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35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19" i="1"/>
  <c r="R68" i="1"/>
  <c r="R67" i="1"/>
  <c r="R66" i="1"/>
  <c r="R65" i="1"/>
  <c r="R64" i="1"/>
  <c r="R63" i="1"/>
  <c r="R18" i="1"/>
</calcChain>
</file>

<file path=xl/sharedStrings.xml><?xml version="1.0" encoding="utf-8"?>
<sst xmlns="http://schemas.openxmlformats.org/spreadsheetml/2006/main" count="1479" uniqueCount="398">
  <si>
    <t>rollNo</t>
  </si>
  <si>
    <t>schoolCode</t>
  </si>
  <si>
    <t>class</t>
  </si>
  <si>
    <t>section</t>
  </si>
  <si>
    <t>studentName</t>
  </si>
  <si>
    <t>motherName</t>
  </si>
  <si>
    <t>fatherName</t>
  </si>
  <si>
    <t>school name</t>
  </si>
  <si>
    <t>city name</t>
  </si>
  <si>
    <t>country name</t>
  </si>
  <si>
    <t>id</t>
  </si>
  <si>
    <t>exam</t>
  </si>
  <si>
    <t>prizeType</t>
  </si>
  <si>
    <t>isTopperCategory</t>
  </si>
  <si>
    <t>IQGKOL1</t>
  </si>
  <si>
    <t>INTERNATIONAL WINNER CUP;MEDAL OF EXCELLENCE(GOLD);CERTIFICATE</t>
  </si>
  <si>
    <t>YES</t>
  </si>
  <si>
    <t>INTERNATIONAL WINNER CUP;MEDAL OF EXCELLENCE(SILVER);CERTIFICATE</t>
  </si>
  <si>
    <t>INTERNATIONAL WINNER CUP;MEDAL OF EXCELLENCE(BRONZE);CERTIFICATE</t>
  </si>
  <si>
    <t>NATIONAL WINNER CUP;MEDAL OF EXCELLENCE(GOLD);CERTIFICATE</t>
  </si>
  <si>
    <t>NATIONAL WINNER CUP;MEDAL OF EXCELLENCE(SILVER);CERTIFICATE</t>
  </si>
  <si>
    <t>NATIONAL WINNER CUP;MEDAL OF EXCELLENCE(BRONZE);CERTIFICATE</t>
  </si>
  <si>
    <t>ZONAL TOPPER CUP;MEDAL OF HONOUR;CERTIFICATE</t>
  </si>
  <si>
    <t>SHINING STAR OF THE SCHOOL WINNER TROPHY;MEDAL OF HONOUR;CERTIFICATE</t>
  </si>
  <si>
    <t>CLASS TOPPER GOLD MEDAL;CERTIFICATE</t>
  </si>
  <si>
    <t>CLASS TOPPER SILVER MEDAL;CERTIFICATE</t>
  </si>
  <si>
    <t>CLASS TOPPER BRONZE MEDAL;CERTIFICATE</t>
  </si>
  <si>
    <t>MEDAL OF DISTINCTION;CERTIFICATE</t>
  </si>
  <si>
    <t>CERTIFICATE</t>
  </si>
  <si>
    <t>subject</t>
  </si>
  <si>
    <t>level</t>
  </si>
  <si>
    <t>basic  /advance</t>
  </si>
  <si>
    <t xml:space="preserve">show </t>
  </si>
  <si>
    <t>IQROL1</t>
  </si>
  <si>
    <t>IQEOL1</t>
  </si>
  <si>
    <t>IQSOL1</t>
  </si>
  <si>
    <t>IQMOL1</t>
  </si>
  <si>
    <t>IQEOL2</t>
  </si>
  <si>
    <t>IQROL2</t>
  </si>
  <si>
    <t>IQMOL2</t>
  </si>
  <si>
    <t>IQSOL2</t>
  </si>
  <si>
    <t>CATEGARY</t>
  </si>
  <si>
    <t>NATIONALITY</t>
  </si>
  <si>
    <t>COUNTRY</t>
  </si>
  <si>
    <t>CITY</t>
  </si>
  <si>
    <t>CLASS</t>
  </si>
  <si>
    <t>SCHOOL</t>
  </si>
  <si>
    <t>SECTION</t>
  </si>
  <si>
    <t>exam date</t>
  </si>
  <si>
    <t>national rank</t>
  </si>
  <si>
    <t>city rank</t>
  </si>
  <si>
    <t>class rank</t>
  </si>
  <si>
    <t>prize</t>
  </si>
  <si>
    <t>all</t>
  </si>
  <si>
    <t>BASIC LEVEL</t>
  </si>
  <si>
    <t>FILTER</t>
  </si>
  <si>
    <t>EXAM LEVEL</t>
  </si>
  <si>
    <t>SUBJECT</t>
  </si>
  <si>
    <t>SCHOOL CODE</t>
  </si>
  <si>
    <t>PRIZE</t>
  </si>
  <si>
    <t>BASIC LEVEL (SUJECT)</t>
  </si>
  <si>
    <t>SCHOOL CODE: 180</t>
  </si>
  <si>
    <t>SCHOOL NAME: ARYAN SCHOOL OF SANSKAR</t>
  </si>
  <si>
    <t>CITY: KANPUR</t>
  </si>
  <si>
    <t>STATE: UTTAR PRADESH</t>
  </si>
  <si>
    <t>SR.NO</t>
  </si>
  <si>
    <t>TOTAL</t>
  </si>
  <si>
    <t>PIVATE TABLE</t>
  </si>
  <si>
    <t>SHOW STUDENTS</t>
  </si>
  <si>
    <t>ROLL NUMBER</t>
  </si>
  <si>
    <t xml:space="preserve">NAME </t>
  </si>
  <si>
    <t>FATHER NAME</t>
  </si>
  <si>
    <t>JAY</t>
  </si>
  <si>
    <t>AJAY</t>
  </si>
  <si>
    <t>A</t>
  </si>
  <si>
    <t>ADVANCE LEVEL</t>
  </si>
  <si>
    <t>B</t>
  </si>
  <si>
    <t>ATHRVA SENGAR</t>
  </si>
  <si>
    <t>PRIYA PATEL</t>
  </si>
  <si>
    <t>ARNAV MAHESHWARI</t>
  </si>
  <si>
    <t>YOSHEL SAMUEL STEPHEN</t>
  </si>
  <si>
    <t>AKSHAJ</t>
  </si>
  <si>
    <t>RONIT SHAKYA</t>
  </si>
  <si>
    <t>SANCHIT KUMAR</t>
  </si>
  <si>
    <t>REYANSH MEHROTRA</t>
  </si>
  <si>
    <t>VANYA CHATURVEDI</t>
  </si>
  <si>
    <t>RISHIKA RAJPUT</t>
  </si>
  <si>
    <t>PRAVI CHAURASIYA</t>
  </si>
  <si>
    <t>RUDRAKSHA GAUTAM</t>
  </si>
  <si>
    <t>NAMIT SINGH</t>
  </si>
  <si>
    <t>ALISHBA KHAN</t>
  </si>
  <si>
    <t>PRABHASINI SETHI</t>
  </si>
  <si>
    <t>ATHARV MISHRA</t>
  </si>
  <si>
    <t>EEHANAA GUPTA</t>
  </si>
  <si>
    <t>AKIRA AWASTHI</t>
  </si>
  <si>
    <t>SUBHASHREE KUMARI</t>
  </si>
  <si>
    <t>VANI YADAV</t>
  </si>
  <si>
    <t>SOUMITRA SHANKAR UPADHYAY</t>
  </si>
  <si>
    <t>NAMAN SINGH</t>
  </si>
  <si>
    <t>SARTHAK SINGH SENGAR</t>
  </si>
  <si>
    <t>ANVI SINGH</t>
  </si>
  <si>
    <t>RADHYA RATHORE</t>
  </si>
  <si>
    <t>GAURAVI SHRIVASTAVA</t>
  </si>
  <si>
    <t>SANSKAR</t>
  </si>
  <si>
    <t>SARTHAK MAURYA</t>
  </si>
  <si>
    <t>VIVAAN SINGH</t>
  </si>
  <si>
    <t>BHARGAVI TIWARI</t>
  </si>
  <si>
    <t>SAMARTH ANAND</t>
  </si>
  <si>
    <t>DISHANI AWASTHI</t>
  </si>
  <si>
    <t>AYANSH PAL</t>
  </si>
  <si>
    <t>JINISHA PATEL</t>
  </si>
  <si>
    <t>AVI SONKAR</t>
  </si>
  <si>
    <t>PRAKASHI SINGH</t>
  </si>
  <si>
    <t>SWARNIMA KATIYAR</t>
  </si>
  <si>
    <t>ASHVI MISHRA</t>
  </si>
  <si>
    <t>SHREYANSH KUMAR SINGH</t>
  </si>
  <si>
    <t>AARAV S GAUR</t>
  </si>
  <si>
    <t>SHIVI</t>
  </si>
  <si>
    <t>AYANSH</t>
  </si>
  <si>
    <t>SHRESHTH</t>
  </si>
  <si>
    <t>GAGAN</t>
  </si>
  <si>
    <t>VIDUYESH</t>
  </si>
  <si>
    <t>ARNAY</t>
  </si>
  <si>
    <t>SWASTIK</t>
  </si>
  <si>
    <t>KUNJDEEP GUPTA</t>
  </si>
  <si>
    <t>AADRIT YADAV</t>
  </si>
  <si>
    <t>SHATAKSHI SONKAR</t>
  </si>
  <si>
    <t>NAKSH</t>
  </si>
  <si>
    <t>YUVRAJ SINGH</t>
  </si>
  <si>
    <t>LAKSHYA KULSHRESTHA</t>
  </si>
  <si>
    <t>DIVYANSHI SRIVASTAVA</t>
  </si>
  <si>
    <t>YASH PANDEY</t>
  </si>
  <si>
    <t>DIVIT PANDEY</t>
  </si>
  <si>
    <t>SAMPADA SINGH</t>
  </si>
  <si>
    <t>ANANYA SINGH</t>
  </si>
  <si>
    <t>NAVYA YADAV</t>
  </si>
  <si>
    <t>ANIKA VERMA</t>
  </si>
  <si>
    <t>ARNAV SINGH</t>
  </si>
  <si>
    <t>YUVANSH SINGH</t>
  </si>
  <si>
    <t>RAJVEER GAUTAM</t>
  </si>
  <si>
    <t>ARADHYA SINGH</t>
  </si>
  <si>
    <t>AYUSHMAN DIXIT</t>
  </si>
  <si>
    <t>ANANT SINGH</t>
  </si>
  <si>
    <t>SAANVI SINGH</t>
  </si>
  <si>
    <t>DISHITA YADAV</t>
  </si>
  <si>
    <t>ANIMESH RAJPUT</t>
  </si>
  <si>
    <t>ARNAV SONKAR</t>
  </si>
  <si>
    <t>SIDDHANTH TRIPATHI</t>
  </si>
  <si>
    <t>RAKSHAM RATHORE</t>
  </si>
  <si>
    <t>ARPIT KUMAR GAUTAM</t>
  </si>
  <si>
    <t>BHAVYA AGRAWAL</t>
  </si>
  <si>
    <t>ANWESHA SINGH</t>
  </si>
  <si>
    <t>VIHAN GUPTA</t>
  </si>
  <si>
    <t>PALLAVI PATEL</t>
  </si>
  <si>
    <t>SHIVANSHI KUMARI</t>
  </si>
  <si>
    <t>VISHESH PAL</t>
  </si>
  <si>
    <t>RAKSHITA SHUKLA</t>
  </si>
  <si>
    <t>ANANYA SHUKLA</t>
  </si>
  <si>
    <t>PRAGYANSHI PATEL</t>
  </si>
  <si>
    <t>SHAGUN SONKAR</t>
  </si>
  <si>
    <t>VAISHANAVI YADAV</t>
  </si>
  <si>
    <t>RAGHAVI SINGH</t>
  </si>
  <si>
    <t>ATHARV YADAV</t>
  </si>
  <si>
    <t>PAWANI PRAJAPATI</t>
  </si>
  <si>
    <t>ADITYA MISHRA</t>
  </si>
  <si>
    <t>SHUBH GUPTA</t>
  </si>
  <si>
    <t>OMAKSHI SINGH</t>
  </si>
  <si>
    <t>SHUBH SINHA</t>
  </si>
  <si>
    <t>AVANI SINGH</t>
  </si>
  <si>
    <t>UTKARSH DWIVEDI</t>
  </si>
  <si>
    <t>VIHAAN VERMA</t>
  </si>
  <si>
    <t>AKSHAT CHAUHAN</t>
  </si>
  <si>
    <t>AYUSHMAN KUSHWAHA</t>
  </si>
  <si>
    <t>ABHIRAJ SINGH</t>
  </si>
  <si>
    <t>SWAR AGNIHOTRI</t>
  </si>
  <si>
    <t>Mardils</t>
  </si>
  <si>
    <t>Kardils</t>
  </si>
  <si>
    <t>KANAK SINGH</t>
  </si>
  <si>
    <t>GIRISH SINGH SENGAR</t>
  </si>
  <si>
    <t>RADHA DEVI</t>
  </si>
  <si>
    <t>PAVAN KUMAR PATEL</t>
  </si>
  <si>
    <t>SONALI GUPTA</t>
  </si>
  <si>
    <t>ASHISH MAHESHWARI</t>
  </si>
  <si>
    <t>ANN GLORY STEPHEN</t>
  </si>
  <si>
    <t>HERALD STEPHEN</t>
  </si>
  <si>
    <t>PUJA SINGH</t>
  </si>
  <si>
    <t>JITENDRA KUMAR SINGH</t>
  </si>
  <si>
    <t>NARENDRA KUMAR SHAKYA</t>
  </si>
  <si>
    <t>BHAWNA SONKAR</t>
  </si>
  <si>
    <t>ROHIT KUMAR</t>
  </si>
  <si>
    <t>SHALINI MEHROTRA</t>
  </si>
  <si>
    <t>AMIT MEHROTRA</t>
  </si>
  <si>
    <t>RITU CHATURVEDI</t>
  </si>
  <si>
    <t>PRASHANT KUMAR CHATURVEDI</t>
  </si>
  <si>
    <t>MANISHA LODHI</t>
  </si>
  <si>
    <t>GAURAV RAJPUT</t>
  </si>
  <si>
    <t>PALLAVI CHAURASIYA</t>
  </si>
  <si>
    <t>VIMAL CHAURASIYA</t>
  </si>
  <si>
    <t>AARTI GAUTAM</t>
  </si>
  <si>
    <t>PRABHAT GAUTAM</t>
  </si>
  <si>
    <t>SANGHMITRA SINGH</t>
  </si>
  <si>
    <t>LOKENDRA SINGH</t>
  </si>
  <si>
    <t>SHAZIA KHAN</t>
  </si>
  <si>
    <t>IMRAN KHAN</t>
  </si>
  <si>
    <t>ANAHELA SETHI</t>
  </si>
  <si>
    <t>TAPAN KUMAR SETHI</t>
  </si>
  <si>
    <t>PRAGYA MISHRA</t>
  </si>
  <si>
    <t>SHASHANK MISHRA</t>
  </si>
  <si>
    <t>N/A</t>
  </si>
  <si>
    <t>AMIT GUPTA</t>
  </si>
  <si>
    <t>RUCHI AWASTHI</t>
  </si>
  <si>
    <t>SAURABH AWASTHI</t>
  </si>
  <si>
    <t>MANDAKINI KUMARI</t>
  </si>
  <si>
    <t>SANTOSH KUMAR</t>
  </si>
  <si>
    <t>NEETU YADAV</t>
  </si>
  <si>
    <t>GORELAL YADAV</t>
  </si>
  <si>
    <t>SHIKHA UPADHYAY</t>
  </si>
  <si>
    <t>VIVEK UPADHYAY</t>
  </si>
  <si>
    <t>DR. ARCHANA SINGH</t>
  </si>
  <si>
    <t>DR. PRAVEEN SINGH</t>
  </si>
  <si>
    <t>NEHA SHUKLA</t>
  </si>
  <si>
    <t>PAWAN PRATAP SINGH SENGAR</t>
  </si>
  <si>
    <t>VIJETA SINGH</t>
  </si>
  <si>
    <t>ABHISHEK SINGH</t>
  </si>
  <si>
    <t>MEENA RATHORE</t>
  </si>
  <si>
    <t>VIMAL RATHORE</t>
  </si>
  <si>
    <t>TANVI SHRIVASTAVA</t>
  </si>
  <si>
    <t>GAURAV SHRIVASTAVA</t>
  </si>
  <si>
    <t>RUBY YADAV</t>
  </si>
  <si>
    <t>SUJEET KUMAR</t>
  </si>
  <si>
    <t>ANUPAM MAURYA</t>
  </si>
  <si>
    <t>ARUN MAURYA</t>
  </si>
  <si>
    <t>VANDANA CHANDRA</t>
  </si>
  <si>
    <t>YOGENDRA SINGH</t>
  </si>
  <si>
    <t>NIRMESH TIWARI</t>
  </si>
  <si>
    <t>ALOK TIWARI</t>
  </si>
  <si>
    <t>PRIYANKA KASHYAP</t>
  </si>
  <si>
    <t>SANCHIT ANAND</t>
  </si>
  <si>
    <t>RUCHIMA AWASTHI</t>
  </si>
  <si>
    <t>VINITA DEVI</t>
  </si>
  <si>
    <t>SANJAY KUMAR PAL</t>
  </si>
  <si>
    <t>AKANKSHA SINGH</t>
  </si>
  <si>
    <t>ADESH PATEL</t>
  </si>
  <si>
    <t>VARSHA SONKAR</t>
  </si>
  <si>
    <t>ASHOK SONKAR</t>
  </si>
  <si>
    <t>RUBY</t>
  </si>
  <si>
    <t>BRIJENDRA SINGH</t>
  </si>
  <si>
    <t>RUCHI KATIYAR</t>
  </si>
  <si>
    <t>AJEET KATIYAR</t>
  </si>
  <si>
    <t>RUCHI MISHRA</t>
  </si>
  <si>
    <t>DEEPAK MISHRA</t>
  </si>
  <si>
    <t>RACHNA</t>
  </si>
  <si>
    <t>SUDHIR KUMAR</t>
  </si>
  <si>
    <t>SAPNA S GAUR</t>
  </si>
  <si>
    <t>MAYANK S GAUR</t>
  </si>
  <si>
    <t>RUCHI</t>
  </si>
  <si>
    <t>AMIT KUMAR SHRIVASTAV</t>
  </si>
  <si>
    <t>SAPNA SINGH</t>
  </si>
  <si>
    <t>SHRUBH SINGH</t>
  </si>
  <si>
    <t>SAPNA GUPTA</t>
  </si>
  <si>
    <t>SHIVAM GUPTA</t>
  </si>
  <si>
    <t>RASHMI MISHRA</t>
  </si>
  <si>
    <t>JITENDRA MISHRA</t>
  </si>
  <si>
    <t>STUTI MISHRA</t>
  </si>
  <si>
    <t>PRADEEP MISHRA</t>
  </si>
  <si>
    <t>MONI</t>
  </si>
  <si>
    <t>RAHUL</t>
  </si>
  <si>
    <t>PRIYANKA SONKAR</t>
  </si>
  <si>
    <t>JYOTI GUPTA</t>
  </si>
  <si>
    <t>KULDEEP KUMAR GUPTA</t>
  </si>
  <si>
    <t>DR. RUPALI AGNIHOTRI</t>
  </si>
  <si>
    <t>ASHISH YADAV</t>
  </si>
  <si>
    <t>RATNA SONKAR</t>
  </si>
  <si>
    <t>JITENDRA SONKAR</t>
  </si>
  <si>
    <t>MANISHA KUSHWAHA</t>
  </si>
  <si>
    <t>LATE PRAMOD PRASAD</t>
  </si>
  <si>
    <t>RACHANA YADAV</t>
  </si>
  <si>
    <t>JANARDAN SINGH</t>
  </si>
  <si>
    <t>SHIPRA SAXENA</t>
  </si>
  <si>
    <t>RAJNISH KULSHRESTHA</t>
  </si>
  <si>
    <t>MONIKA SRIVASTAVA</t>
  </si>
  <si>
    <t>ABHISHEK KUMAR SRIVASTAVA</t>
  </si>
  <si>
    <t>KIRTI PANDEY</t>
  </si>
  <si>
    <t>RAHUL PANDEY</t>
  </si>
  <si>
    <t>VINEET KUMAR PANDEY</t>
  </si>
  <si>
    <t>SHAIWALIKA SINGH</t>
  </si>
  <si>
    <t>DHARMENDRA SINGH</t>
  </si>
  <si>
    <t>NEELU YADAV</t>
  </si>
  <si>
    <t>SUNIL YADAV</t>
  </si>
  <si>
    <t>SHASHI PRABHA</t>
  </si>
  <si>
    <t>VIKAS YADAV</t>
  </si>
  <si>
    <t>ALKA VERMA</t>
  </si>
  <si>
    <t>ABHISHEK VERMA</t>
  </si>
  <si>
    <t>ANURADHA</t>
  </si>
  <si>
    <t>DR. AKHILESH KUMAR</t>
  </si>
  <si>
    <t>RANJEETA GAUTAM</t>
  </si>
  <si>
    <t>BINDA PRASAD</t>
  </si>
  <si>
    <t>NEETU SINGH</t>
  </si>
  <si>
    <t>LATE VIKAS SINGH</t>
  </si>
  <si>
    <t>SAPNA TRIVEDI</t>
  </si>
  <si>
    <t>ARUN KUMAR DIXIT</t>
  </si>
  <si>
    <t>SAURABH SINGH</t>
  </si>
  <si>
    <t>SONAM SINGH</t>
  </si>
  <si>
    <t>RANVEER SINGH</t>
  </si>
  <si>
    <t>RAJNI YADAV</t>
  </si>
  <si>
    <t>MANISH YADAV</t>
  </si>
  <si>
    <t>SONI DEVI</t>
  </si>
  <si>
    <t>AMIT KUMAR</t>
  </si>
  <si>
    <t>NEERAJ TRIPATHI</t>
  </si>
  <si>
    <t>LAV TRIPATHI</t>
  </si>
  <si>
    <t>SONA GAUTAM</t>
  </si>
  <si>
    <t>AJAY KUMAR GAUTAM</t>
  </si>
  <si>
    <t>ANUSHI AGRAWAL</t>
  </si>
  <si>
    <t>ANKIT AGRAWAL</t>
  </si>
  <si>
    <t>PUSHPA SINGH</t>
  </si>
  <si>
    <t>MANISH KUMAR SINGH</t>
  </si>
  <si>
    <t>ARPITA GUPTA</t>
  </si>
  <si>
    <t>AVINASH GUPTA</t>
  </si>
  <si>
    <t>SITA DEVI</t>
  </si>
  <si>
    <t>GYANENDRA KUMAR</t>
  </si>
  <si>
    <t>DR. SANTOSH KUMAR</t>
  </si>
  <si>
    <t>DR. NIRMALA PAL</t>
  </si>
  <si>
    <t>MANISH PAL</t>
  </si>
  <si>
    <t>SHALINI SHUKLA</t>
  </si>
  <si>
    <t>ANAND SHUKLA</t>
  </si>
  <si>
    <t>SHIKHA SHUKLA</t>
  </si>
  <si>
    <t>ANURAG SHUKLA</t>
  </si>
  <si>
    <t>SONIYA</t>
  </si>
  <si>
    <t>DR. SHRI KRISHNA PATEL</t>
  </si>
  <si>
    <t>ARCHANA YADAV</t>
  </si>
  <si>
    <t>BRIJMOHAN SINGH</t>
  </si>
  <si>
    <t>VARTULA SINGH</t>
  </si>
  <si>
    <t>VINAY SINGH</t>
  </si>
  <si>
    <t>RUPALI AGNIHOTRI</t>
  </si>
  <si>
    <t>SNEHLATA PRAJAPATI</t>
  </si>
  <si>
    <t>MANOJ KUMAR PRAJAPATI</t>
  </si>
  <si>
    <t>GAURI MISHRA</t>
  </si>
  <si>
    <t>MANISH KUMAR MISHRA</t>
  </si>
  <si>
    <t>PRIYA GUPTA</t>
  </si>
  <si>
    <t>SHALINI</t>
  </si>
  <si>
    <t>VIMAL NEERAJ</t>
  </si>
  <si>
    <t>MUKESH RANJAN</t>
  </si>
  <si>
    <t>NISHA DIWAKAR</t>
  </si>
  <si>
    <t>MUNEHWAR SINGH</t>
  </si>
  <si>
    <t>DEEPTI DWIVEDI</t>
  </si>
  <si>
    <t>ASHVANI KUMAR</t>
  </si>
  <si>
    <t>KEERTI RAJ</t>
  </si>
  <si>
    <t>CHANDRAJEET KUMAR</t>
  </si>
  <si>
    <t>ALKA CHAUHAN</t>
  </si>
  <si>
    <t>SATYENDRA SINGH CHAUHAN</t>
  </si>
  <si>
    <t>SHILPAL KUSHWAHA</t>
  </si>
  <si>
    <t>RAVINDRA KUSHWAHA</t>
  </si>
  <si>
    <t>LAXMI</t>
  </si>
  <si>
    <t>DINESH KUMAR</t>
  </si>
  <si>
    <t>SOMI DUBEY</t>
  </si>
  <si>
    <t>SURENDRA KUMAR AGNIHOTRI</t>
  </si>
  <si>
    <t>Umesh</t>
  </si>
  <si>
    <t>Nimisha</t>
  </si>
  <si>
    <t>maxCityRank5</t>
  </si>
  <si>
    <t>maxInternationalRank1</t>
  </si>
  <si>
    <t>INDIA</t>
  </si>
  <si>
    <t>QUTAR</t>
  </si>
  <si>
    <t>MALAYSIA</t>
  </si>
  <si>
    <t>KANPUR</t>
  </si>
  <si>
    <t xml:space="preserve">LUSAIL </t>
  </si>
  <si>
    <t>KUALA</t>
  </si>
  <si>
    <t>S.S. MEMORIAL</t>
  </si>
  <si>
    <t>M.E.S INDIAN SCHOOL</t>
  </si>
  <si>
    <t>S.Y.E SOUTH INDIAN SCHOOL</t>
  </si>
  <si>
    <t>SWARAJ SCHOOL</t>
  </si>
  <si>
    <t>IQMO</t>
  </si>
  <si>
    <t>INTERNATION RANK</t>
  </si>
  <si>
    <t>SECTION RANK</t>
  </si>
  <si>
    <t>school rank</t>
  </si>
  <si>
    <t>SRORE</t>
  </si>
  <si>
    <t>maxclassRankP5</t>
  </si>
  <si>
    <t>maxsectionRank5</t>
  </si>
  <si>
    <t>maxCountryRank3</t>
  </si>
  <si>
    <t>ROLL NO.</t>
  </si>
  <si>
    <t>Section 1</t>
  </si>
  <si>
    <t/>
  </si>
  <si>
    <t>Section 2</t>
  </si>
  <si>
    <t>Section 3</t>
  </si>
  <si>
    <t>Section 4</t>
  </si>
  <si>
    <t>Section 5</t>
  </si>
  <si>
    <t>TOTAL MARKS</t>
  </si>
  <si>
    <t>ATTENDENCE</t>
  </si>
  <si>
    <t>Score</t>
  </si>
  <si>
    <t>Percentage</t>
  </si>
  <si>
    <t>CorrectQCount</t>
  </si>
  <si>
    <t>InCorrectQCount</t>
  </si>
  <si>
    <t>TotalQCount</t>
  </si>
  <si>
    <t>UnAttempted</t>
  </si>
  <si>
    <t>Rank</t>
  </si>
  <si>
    <t>PRESENT</t>
  </si>
  <si>
    <t>2</t>
  </si>
  <si>
    <t>ABSENT</t>
  </si>
  <si>
    <t>DISQULIFIED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</si>
</sst>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5A3286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E6CF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Gray">
        <fgColor rgb="FFFF9728"/>
        <bgColor rgb="FFFF9728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7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NumberFormat="1"/>
    <xf numFmtId="15" fontId="0" fillId="0" borderId="0" xfId="0" applyNumberFormat="1"/>
    <xf numFmtId="0" fontId="0" fillId="0" borderId="0" xfId="0" applyFill="1" applyBorder="1"/>
    <xf numFmtId="1" fontId="1" fillId="4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" fillId="2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49" fontId="0" fillId="5" borderId="3" xfId="0" applyNumberFormat="1" applyFill="1" applyBorder="1" applyAlignment="1">
      <alignment horizontal="center"/>
    </xf>
    <xf numFmtId="49" fontId="0" fillId="5" borderId="3" xfId="0" applyNumberFormat="1" applyFill="1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228601</xdr:colOff>
      <xdr:row>2</xdr:row>
      <xdr:rowOff>114299</xdr:rowOff>
    </xdr:from>
    <xdr:to>
      <xdr:col>3</xdr:col>
      <xdr:colOff>1175527</xdr:colOff>
      <xdr:row>5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5C31E-6C78-4C8E-8B34-D8DDB43B9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1" y="495299"/>
          <a:ext cx="2166126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0683-0635-4F38-AA11-394E8E208247}">
  <dimension ref="A1:AO11"/>
  <sheetViews>
    <sheetView tabSelected="1" workbookViewId="0">
      <selection activeCell="F18" sqref="F18"/>
    </sheetView>
  </sheetViews>
  <sheetFormatPr defaultRowHeight="15" x14ac:dyDescent="0.25"/>
  <sheetData>
    <row r="1" spans="1:41" x14ac:dyDescent="0.25">
      <c r="A1" s="21" t="s">
        <v>378</v>
      </c>
      <c r="B1" s="22"/>
      <c r="C1" s="21" t="s">
        <v>45</v>
      </c>
      <c r="D1" s="21" t="s">
        <v>47</v>
      </c>
      <c r="E1" s="21" t="s">
        <v>379</v>
      </c>
      <c r="F1" s="21" t="s">
        <v>380</v>
      </c>
      <c r="G1" s="21" t="s">
        <v>380</v>
      </c>
      <c r="H1" s="21" t="s">
        <v>380</v>
      </c>
      <c r="I1" s="21" t="s">
        <v>380</v>
      </c>
      <c r="J1" s="21" t="s">
        <v>380</v>
      </c>
      <c r="K1" s="21" t="s">
        <v>381</v>
      </c>
      <c r="L1" s="21" t="s">
        <v>380</v>
      </c>
      <c r="M1" s="21" t="s">
        <v>380</v>
      </c>
      <c r="N1" s="21" t="s">
        <v>380</v>
      </c>
      <c r="O1" s="21" t="s">
        <v>380</v>
      </c>
      <c r="P1" s="21" t="s">
        <v>380</v>
      </c>
      <c r="Q1" s="21" t="s">
        <v>382</v>
      </c>
      <c r="R1" s="21" t="s">
        <v>380</v>
      </c>
      <c r="S1" s="21" t="s">
        <v>380</v>
      </c>
      <c r="T1" s="21" t="s">
        <v>380</v>
      </c>
      <c r="U1" s="21" t="s">
        <v>380</v>
      </c>
      <c r="V1" s="21" t="s">
        <v>380</v>
      </c>
      <c r="W1" s="21" t="s">
        <v>383</v>
      </c>
      <c r="X1" s="21" t="s">
        <v>380</v>
      </c>
      <c r="Y1" s="21" t="s">
        <v>380</v>
      </c>
      <c r="Z1" s="21" t="s">
        <v>380</v>
      </c>
      <c r="AA1" s="21" t="s">
        <v>380</v>
      </c>
      <c r="AB1" s="21" t="s">
        <v>380</v>
      </c>
      <c r="AC1" s="21" t="s">
        <v>384</v>
      </c>
      <c r="AD1" s="21" t="s">
        <v>380</v>
      </c>
      <c r="AE1" s="21" t="s">
        <v>380</v>
      </c>
      <c r="AF1" s="21" t="s">
        <v>380</v>
      </c>
      <c r="AG1" s="21" t="s">
        <v>380</v>
      </c>
      <c r="AH1" s="21" t="s">
        <v>380</v>
      </c>
      <c r="AI1" s="21" t="s">
        <v>385</v>
      </c>
      <c r="AJ1" s="21" t="s">
        <v>380</v>
      </c>
      <c r="AK1" s="21" t="s">
        <v>380</v>
      </c>
      <c r="AL1" s="21" t="s">
        <v>380</v>
      </c>
      <c r="AM1" s="21" t="s">
        <v>380</v>
      </c>
      <c r="AN1" s="21" t="s">
        <v>380</v>
      </c>
      <c r="AO1" s="21" t="s">
        <v>380</v>
      </c>
    </row>
    <row r="2" spans="1:41" x14ac:dyDescent="0.25">
      <c r="A2" s="21" t="s">
        <v>380</v>
      </c>
      <c r="B2" s="22" t="s">
        <v>386</v>
      </c>
      <c r="C2" s="21" t="s">
        <v>380</v>
      </c>
      <c r="D2" s="21" t="s">
        <v>380</v>
      </c>
      <c r="E2" s="22" t="s">
        <v>387</v>
      </c>
      <c r="F2" s="22" t="s">
        <v>388</v>
      </c>
      <c r="G2" s="22" t="s">
        <v>389</v>
      </c>
      <c r="H2" s="22" t="s">
        <v>390</v>
      </c>
      <c r="I2" s="22" t="s">
        <v>391</v>
      </c>
      <c r="J2" s="22" t="s">
        <v>392</v>
      </c>
      <c r="K2" s="22" t="s">
        <v>387</v>
      </c>
      <c r="L2" s="22" t="s">
        <v>388</v>
      </c>
      <c r="M2" s="22" t="s">
        <v>389</v>
      </c>
      <c r="N2" s="22" t="s">
        <v>390</v>
      </c>
      <c r="O2" s="22" t="s">
        <v>391</v>
      </c>
      <c r="P2" s="22" t="s">
        <v>392</v>
      </c>
      <c r="Q2" s="22" t="s">
        <v>387</v>
      </c>
      <c r="R2" s="22" t="s">
        <v>388</v>
      </c>
      <c r="S2" s="22" t="s">
        <v>389</v>
      </c>
      <c r="T2" s="22" t="s">
        <v>390</v>
      </c>
      <c r="U2" s="22" t="s">
        <v>391</v>
      </c>
      <c r="V2" s="22" t="s">
        <v>392</v>
      </c>
      <c r="W2" s="22" t="s">
        <v>387</v>
      </c>
      <c r="X2" s="22" t="s">
        <v>388</v>
      </c>
      <c r="Y2" s="22" t="s">
        <v>389</v>
      </c>
      <c r="Z2" s="22" t="s">
        <v>390</v>
      </c>
      <c r="AA2" s="22" t="s">
        <v>391</v>
      </c>
      <c r="AB2" s="22" t="s">
        <v>392</v>
      </c>
      <c r="AC2" s="22" t="s">
        <v>387</v>
      </c>
      <c r="AD2" s="22" t="s">
        <v>388</v>
      </c>
      <c r="AE2" s="22" t="s">
        <v>389</v>
      </c>
      <c r="AF2" s="22" t="s">
        <v>390</v>
      </c>
      <c r="AG2" s="22" t="s">
        <v>391</v>
      </c>
      <c r="AH2" s="22" t="s">
        <v>392</v>
      </c>
      <c r="AI2" s="22" t="s">
        <v>387</v>
      </c>
      <c r="AJ2" s="22" t="s">
        <v>393</v>
      </c>
      <c r="AK2" s="22" t="s">
        <v>388</v>
      </c>
      <c r="AL2" s="22" t="s">
        <v>389</v>
      </c>
      <c r="AM2" s="22" t="s">
        <v>390</v>
      </c>
      <c r="AN2" s="22" t="s">
        <v>391</v>
      </c>
      <c r="AO2" s="22" t="s">
        <v>392</v>
      </c>
    </row>
    <row r="3" spans="1:41" x14ac:dyDescent="0.25">
      <c r="A3" s="1">
        <v>18000302</v>
      </c>
      <c r="B3" s="1" t="s">
        <v>394</v>
      </c>
      <c r="C3" s="1" t="s">
        <v>395</v>
      </c>
      <c r="D3" s="1" t="s">
        <v>76</v>
      </c>
      <c r="E3" s="1">
        <v>0</v>
      </c>
      <c r="F3" s="1">
        <v>0</v>
      </c>
      <c r="G3" s="1">
        <v>0</v>
      </c>
      <c r="H3" s="1">
        <v>10</v>
      </c>
      <c r="I3" s="1">
        <v>10</v>
      </c>
      <c r="J3" s="1">
        <v>0</v>
      </c>
      <c r="K3" s="1">
        <v>4</v>
      </c>
      <c r="L3" s="1">
        <v>25</v>
      </c>
      <c r="M3" s="1">
        <v>2</v>
      </c>
      <c r="N3" s="1">
        <v>6</v>
      </c>
      <c r="O3" s="1">
        <v>8</v>
      </c>
      <c r="P3" s="1">
        <v>0</v>
      </c>
      <c r="Q3" s="1">
        <v>6</v>
      </c>
      <c r="R3" s="1">
        <v>25</v>
      </c>
      <c r="S3" s="1">
        <v>2</v>
      </c>
      <c r="T3" s="1">
        <v>6</v>
      </c>
      <c r="U3" s="1">
        <v>8</v>
      </c>
      <c r="V3" s="1">
        <v>0</v>
      </c>
      <c r="W3" s="1">
        <v>4</v>
      </c>
      <c r="X3" s="1">
        <v>20</v>
      </c>
      <c r="Y3" s="1">
        <v>1</v>
      </c>
      <c r="Z3" s="1">
        <v>4</v>
      </c>
      <c r="AA3" s="1">
        <v>5</v>
      </c>
      <c r="AB3" s="1">
        <v>0</v>
      </c>
      <c r="AC3" s="1">
        <v>10</v>
      </c>
      <c r="AD3" s="1">
        <v>50</v>
      </c>
      <c r="AE3" s="1">
        <v>2</v>
      </c>
      <c r="AF3" s="1">
        <v>2</v>
      </c>
      <c r="AG3" s="1">
        <v>4</v>
      </c>
      <c r="AH3" s="1">
        <v>0</v>
      </c>
      <c r="AI3" s="1">
        <v>24</v>
      </c>
      <c r="AJ3" s="1">
        <v>4</v>
      </c>
      <c r="AK3" s="1">
        <v>18.461539999999999</v>
      </c>
      <c r="AL3" s="1">
        <v>7</v>
      </c>
      <c r="AM3" s="1">
        <v>28</v>
      </c>
      <c r="AN3" s="1">
        <v>35</v>
      </c>
      <c r="AO3" s="1">
        <v>0</v>
      </c>
    </row>
    <row r="4" spans="1:41" x14ac:dyDescent="0.25">
      <c r="A4" s="1">
        <v>18000102</v>
      </c>
      <c r="B4" s="1" t="s">
        <v>394</v>
      </c>
      <c r="C4" s="1" t="s">
        <v>395</v>
      </c>
      <c r="D4" s="1" t="s">
        <v>74</v>
      </c>
      <c r="E4" s="1">
        <v>15</v>
      </c>
      <c r="F4" s="1">
        <v>30</v>
      </c>
      <c r="G4" s="1">
        <v>3</v>
      </c>
      <c r="H4" s="1">
        <v>7</v>
      </c>
      <c r="I4" s="1">
        <v>10</v>
      </c>
      <c r="J4" s="1">
        <v>0</v>
      </c>
      <c r="K4" s="1">
        <v>6</v>
      </c>
      <c r="L4" s="1">
        <v>37.5</v>
      </c>
      <c r="M4" s="1">
        <v>3</v>
      </c>
      <c r="N4" s="1">
        <v>4</v>
      </c>
      <c r="O4" s="1">
        <v>7</v>
      </c>
      <c r="P4" s="1">
        <v>1</v>
      </c>
      <c r="Q4" s="1">
        <v>6</v>
      </c>
      <c r="R4" s="1">
        <v>25</v>
      </c>
      <c r="S4" s="1">
        <v>2</v>
      </c>
      <c r="T4" s="1">
        <v>6</v>
      </c>
      <c r="U4" s="1">
        <v>8</v>
      </c>
      <c r="V4" s="1">
        <v>0</v>
      </c>
      <c r="W4" s="1">
        <v>0</v>
      </c>
      <c r="X4" s="1">
        <v>0</v>
      </c>
      <c r="Y4" s="1">
        <v>0</v>
      </c>
      <c r="Z4" s="1">
        <v>4</v>
      </c>
      <c r="AA4" s="1">
        <v>4</v>
      </c>
      <c r="AB4" s="1">
        <v>1</v>
      </c>
      <c r="AC4" s="1">
        <v>5</v>
      </c>
      <c r="AD4" s="1">
        <v>25</v>
      </c>
      <c r="AE4" s="1">
        <v>1</v>
      </c>
      <c r="AF4" s="1">
        <v>3</v>
      </c>
      <c r="AG4" s="1">
        <v>4</v>
      </c>
      <c r="AH4" s="1">
        <v>0</v>
      </c>
      <c r="AI4" s="1">
        <v>32</v>
      </c>
      <c r="AJ4" s="1">
        <v>2</v>
      </c>
      <c r="AK4" s="1">
        <v>24.615390000000001</v>
      </c>
      <c r="AL4" s="1">
        <v>9</v>
      </c>
      <c r="AM4" s="1">
        <v>24</v>
      </c>
      <c r="AN4" s="1">
        <v>33</v>
      </c>
      <c r="AO4" s="1">
        <v>2</v>
      </c>
    </row>
    <row r="5" spans="1:41" x14ac:dyDescent="0.25">
      <c r="A5" s="1">
        <v>18000502</v>
      </c>
      <c r="B5" s="1" t="s">
        <v>394</v>
      </c>
      <c r="C5" s="1" t="s">
        <v>395</v>
      </c>
      <c r="D5" s="1" t="s">
        <v>76</v>
      </c>
      <c r="E5" s="1">
        <v>10</v>
      </c>
      <c r="F5" s="1">
        <v>20</v>
      </c>
      <c r="G5" s="1">
        <v>2</v>
      </c>
      <c r="H5" s="1">
        <v>8</v>
      </c>
      <c r="I5" s="1">
        <v>10</v>
      </c>
      <c r="J5" s="1">
        <v>0</v>
      </c>
      <c r="K5" s="1">
        <v>8</v>
      </c>
      <c r="L5" s="1">
        <v>50</v>
      </c>
      <c r="M5" s="1">
        <v>4</v>
      </c>
      <c r="N5" s="1">
        <v>4</v>
      </c>
      <c r="O5" s="1">
        <v>8</v>
      </c>
      <c r="P5" s="1">
        <v>0</v>
      </c>
      <c r="Q5" s="1">
        <v>3</v>
      </c>
      <c r="R5" s="1">
        <v>12.5</v>
      </c>
      <c r="S5" s="1">
        <v>1</v>
      </c>
      <c r="T5" s="1">
        <v>7</v>
      </c>
      <c r="U5" s="1">
        <v>8</v>
      </c>
      <c r="V5" s="1">
        <v>0</v>
      </c>
      <c r="W5" s="1">
        <v>8</v>
      </c>
      <c r="X5" s="1">
        <v>40</v>
      </c>
      <c r="Y5" s="1">
        <v>2</v>
      </c>
      <c r="Z5" s="1">
        <v>3</v>
      </c>
      <c r="AA5" s="1">
        <v>5</v>
      </c>
      <c r="AB5" s="1">
        <v>0</v>
      </c>
      <c r="AC5" s="1">
        <v>0</v>
      </c>
      <c r="AD5" s="1">
        <v>0</v>
      </c>
      <c r="AE5" s="1">
        <v>0</v>
      </c>
      <c r="AF5" s="1">
        <v>4</v>
      </c>
      <c r="AG5" s="1">
        <v>4</v>
      </c>
      <c r="AH5" s="1">
        <v>0</v>
      </c>
      <c r="AI5" s="1">
        <v>29</v>
      </c>
      <c r="AJ5" s="1">
        <v>3</v>
      </c>
      <c r="AK5" s="1">
        <v>22.307690000000001</v>
      </c>
      <c r="AL5" s="1">
        <v>9</v>
      </c>
      <c r="AM5" s="1">
        <v>26</v>
      </c>
      <c r="AN5" s="1">
        <v>35</v>
      </c>
      <c r="AO5" s="1">
        <v>0</v>
      </c>
    </row>
    <row r="6" spans="1:41" x14ac:dyDescent="0.25">
      <c r="A6" s="1">
        <v>18000202</v>
      </c>
      <c r="B6" s="1" t="s">
        <v>394</v>
      </c>
      <c r="C6" s="1" t="s">
        <v>395</v>
      </c>
      <c r="D6" s="1" t="s">
        <v>74</v>
      </c>
      <c r="E6" s="1">
        <v>20</v>
      </c>
      <c r="F6" s="1">
        <v>40</v>
      </c>
      <c r="G6" s="1">
        <v>4</v>
      </c>
      <c r="H6" s="1">
        <v>6</v>
      </c>
      <c r="I6" s="1">
        <v>10</v>
      </c>
      <c r="J6" s="1">
        <v>0</v>
      </c>
      <c r="K6" s="1">
        <v>8</v>
      </c>
      <c r="L6" s="1">
        <v>50</v>
      </c>
      <c r="M6" s="1">
        <v>4</v>
      </c>
      <c r="N6" s="1">
        <v>3</v>
      </c>
      <c r="O6" s="1">
        <v>7</v>
      </c>
      <c r="P6" s="1">
        <v>1</v>
      </c>
      <c r="Q6" s="1">
        <v>3</v>
      </c>
      <c r="R6" s="1">
        <v>12.5</v>
      </c>
      <c r="S6" s="1">
        <v>1</v>
      </c>
      <c r="T6" s="1">
        <v>7</v>
      </c>
      <c r="U6" s="1">
        <v>8</v>
      </c>
      <c r="V6" s="1">
        <v>0</v>
      </c>
      <c r="W6" s="1">
        <v>12</v>
      </c>
      <c r="X6" s="1">
        <v>60</v>
      </c>
      <c r="Y6" s="1">
        <v>3</v>
      </c>
      <c r="Z6" s="1">
        <v>2</v>
      </c>
      <c r="AA6" s="1">
        <v>5</v>
      </c>
      <c r="AB6" s="1">
        <v>0</v>
      </c>
      <c r="AC6" s="1">
        <v>5</v>
      </c>
      <c r="AD6" s="1">
        <v>25</v>
      </c>
      <c r="AE6" s="1">
        <v>1</v>
      </c>
      <c r="AF6" s="1">
        <v>3</v>
      </c>
      <c r="AG6" s="1">
        <v>4</v>
      </c>
      <c r="AH6" s="1">
        <v>0</v>
      </c>
      <c r="AI6" s="1">
        <v>48</v>
      </c>
      <c r="AJ6" s="1">
        <v>1</v>
      </c>
      <c r="AK6" s="1">
        <v>36.923079999999999</v>
      </c>
      <c r="AL6" s="1">
        <v>13</v>
      </c>
      <c r="AM6" s="1">
        <v>21</v>
      </c>
      <c r="AN6" s="1">
        <v>34</v>
      </c>
      <c r="AO6" s="1">
        <v>1</v>
      </c>
    </row>
    <row r="7" spans="1:41" x14ac:dyDescent="0.25">
      <c r="A7" s="1">
        <v>18000602</v>
      </c>
      <c r="B7" s="1" t="s">
        <v>394</v>
      </c>
      <c r="C7" s="1" t="s">
        <v>395</v>
      </c>
      <c r="D7" s="1" t="s">
        <v>76</v>
      </c>
      <c r="E7" s="1">
        <v>10</v>
      </c>
      <c r="F7" s="1">
        <v>20</v>
      </c>
      <c r="G7" s="1">
        <v>2</v>
      </c>
      <c r="H7" s="1">
        <v>8</v>
      </c>
      <c r="I7" s="1">
        <v>10</v>
      </c>
      <c r="J7" s="1">
        <v>0</v>
      </c>
      <c r="K7" s="1">
        <v>4</v>
      </c>
      <c r="L7" s="1">
        <v>25</v>
      </c>
      <c r="M7" s="1">
        <v>2</v>
      </c>
      <c r="N7" s="1">
        <v>6</v>
      </c>
      <c r="O7" s="1">
        <v>8</v>
      </c>
      <c r="P7" s="1">
        <v>0</v>
      </c>
      <c r="Q7" s="1">
        <v>0</v>
      </c>
      <c r="R7" s="1">
        <v>0</v>
      </c>
      <c r="S7" s="1">
        <v>0</v>
      </c>
      <c r="T7" s="1">
        <v>8</v>
      </c>
      <c r="U7" s="1">
        <v>8</v>
      </c>
      <c r="V7" s="1">
        <v>0</v>
      </c>
      <c r="W7" s="1">
        <v>0</v>
      </c>
      <c r="X7" s="1">
        <v>0</v>
      </c>
      <c r="Y7" s="1">
        <v>0</v>
      </c>
      <c r="Z7" s="1">
        <v>5</v>
      </c>
      <c r="AA7" s="1">
        <v>5</v>
      </c>
      <c r="AB7" s="1">
        <v>0</v>
      </c>
      <c r="AC7" s="1">
        <v>5</v>
      </c>
      <c r="AD7" s="1">
        <v>25</v>
      </c>
      <c r="AE7" s="1">
        <v>1</v>
      </c>
      <c r="AF7" s="1">
        <v>3</v>
      </c>
      <c r="AG7" s="1">
        <v>4</v>
      </c>
      <c r="AH7" s="1">
        <v>0</v>
      </c>
      <c r="AI7" s="1">
        <v>19</v>
      </c>
      <c r="AJ7" s="1">
        <v>5</v>
      </c>
      <c r="AK7" s="1">
        <v>14.61539</v>
      </c>
      <c r="AL7" s="1">
        <v>5</v>
      </c>
      <c r="AM7" s="1">
        <v>30</v>
      </c>
      <c r="AN7" s="1">
        <v>35</v>
      </c>
      <c r="AO7" s="1">
        <v>0</v>
      </c>
    </row>
    <row r="8" spans="1:41" x14ac:dyDescent="0.25">
      <c r="A8" s="1">
        <v>18000702</v>
      </c>
      <c r="B8" s="1" t="s">
        <v>396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A9" s="1">
        <v>18000802</v>
      </c>
      <c r="B9" s="1" t="s">
        <v>397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</sheetData>
  <mergeCells count="9">
    <mergeCell ref="W1:AB1"/>
    <mergeCell ref="AC1:AH1"/>
    <mergeCell ref="AI1:AO1"/>
    <mergeCell ref="A1:A2"/>
    <mergeCell ref="C1:C2"/>
    <mergeCell ref="D1:D2"/>
    <mergeCell ref="E1:J1"/>
    <mergeCell ref="K1:P1"/>
    <mergeCell ref="Q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80BB-5373-4CA9-805E-F91C9C347DDD}">
  <dimension ref="A1:T147"/>
  <sheetViews>
    <sheetView topLeftCell="H1" zoomScale="111" workbookViewId="0">
      <selection activeCell="N1" sqref="N1"/>
    </sheetView>
  </sheetViews>
  <sheetFormatPr defaultRowHeight="15" x14ac:dyDescent="0.25"/>
  <cols>
    <col min="1" max="1" width="13.5703125" customWidth="1"/>
    <col min="2" max="3" width="13.7109375" customWidth="1"/>
    <col min="6" max="6" width="14.42578125" customWidth="1"/>
    <col min="7" max="7" width="15.140625" customWidth="1"/>
    <col min="8" max="8" width="30.85546875" customWidth="1"/>
    <col min="9" max="9" width="10.28515625" customWidth="1"/>
    <col min="10" max="10" width="9.42578125" customWidth="1"/>
    <col min="12" max="12" width="9.42578125" customWidth="1"/>
    <col min="13" max="13" width="10.85546875" style="18" customWidth="1"/>
    <col min="14" max="14" width="14.5703125" style="1" customWidth="1"/>
    <col min="15" max="15" width="12.5703125" customWidth="1"/>
    <col min="16" max="16" width="7.5703125" customWidth="1"/>
    <col min="17" max="17" width="12.42578125" style="1" customWidth="1"/>
    <col min="19" max="19" width="9.140625" style="1"/>
    <col min="20" max="20" width="18.28515625" customWidth="1"/>
  </cols>
  <sheetData>
    <row r="1" spans="1:20" ht="30.75" thickBot="1" x14ac:dyDescent="0.3">
      <c r="A1" s="12" t="s">
        <v>0</v>
      </c>
      <c r="B1" s="12" t="s">
        <v>1</v>
      </c>
      <c r="C1" s="12" t="s">
        <v>7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8</v>
      </c>
      <c r="J1" s="13" t="s">
        <v>9</v>
      </c>
      <c r="K1" s="13" t="s">
        <v>29</v>
      </c>
      <c r="L1" s="13" t="s">
        <v>48</v>
      </c>
      <c r="M1" s="17" t="s">
        <v>374</v>
      </c>
      <c r="N1" s="13" t="s">
        <v>371</v>
      </c>
      <c r="O1" s="13" t="s">
        <v>49</v>
      </c>
      <c r="P1" s="13" t="s">
        <v>50</v>
      </c>
      <c r="Q1" s="13" t="s">
        <v>373</v>
      </c>
      <c r="R1" s="13" t="s">
        <v>51</v>
      </c>
      <c r="S1" s="13" t="s">
        <v>372</v>
      </c>
      <c r="T1" s="13" t="s">
        <v>52</v>
      </c>
    </row>
    <row r="2" spans="1:20" x14ac:dyDescent="0.25">
      <c r="A2" s="14">
        <v>18000101</v>
      </c>
      <c r="B2" s="14">
        <v>180</v>
      </c>
      <c r="C2" t="s">
        <v>366</v>
      </c>
      <c r="D2" s="14">
        <v>1</v>
      </c>
      <c r="E2" t="s">
        <v>74</v>
      </c>
      <c r="F2" s="14" t="s">
        <v>77</v>
      </c>
      <c r="G2" s="14" t="s">
        <v>177</v>
      </c>
      <c r="H2" s="14" t="s">
        <v>178</v>
      </c>
      <c r="I2" s="14" t="s">
        <v>363</v>
      </c>
      <c r="J2" s="1" t="s">
        <v>360</v>
      </c>
      <c r="K2" t="s">
        <v>370</v>
      </c>
      <c r="L2" s="15">
        <v>45981</v>
      </c>
      <c r="M2" s="18">
        <v>88</v>
      </c>
      <c r="N2" s="14">
        <v>21</v>
      </c>
      <c r="O2">
        <v>21</v>
      </c>
      <c r="P2">
        <v>21</v>
      </c>
      <c r="Q2" s="1">
        <v>8</v>
      </c>
      <c r="R2">
        <f>RANK(M2,M$2:M$17,0)</f>
        <v>2</v>
      </c>
      <c r="S2" s="1">
        <f>RANK(M2,$M$2:$M$17,0)</f>
        <v>2</v>
      </c>
    </row>
    <row r="3" spans="1:20" x14ac:dyDescent="0.25">
      <c r="A3" s="14">
        <v>18200101</v>
      </c>
      <c r="B3" s="14">
        <v>182</v>
      </c>
      <c r="C3" s="1" t="s">
        <v>368</v>
      </c>
      <c r="D3" s="14">
        <v>1</v>
      </c>
      <c r="E3" t="s">
        <v>74</v>
      </c>
      <c r="F3" s="14" t="s">
        <v>154</v>
      </c>
      <c r="G3" s="14" t="s">
        <v>212</v>
      </c>
      <c r="H3" s="14" t="s">
        <v>320</v>
      </c>
      <c r="I3" s="14" t="s">
        <v>365</v>
      </c>
      <c r="J3" s="1" t="s">
        <v>362</v>
      </c>
      <c r="K3" s="1" t="s">
        <v>370</v>
      </c>
      <c r="L3" s="15">
        <v>45981</v>
      </c>
      <c r="M3" s="18">
        <v>60</v>
      </c>
      <c r="N3" s="14">
        <v>77</v>
      </c>
      <c r="O3" s="1">
        <v>51</v>
      </c>
      <c r="P3">
        <v>51</v>
      </c>
      <c r="Q3" s="1">
        <v>51</v>
      </c>
      <c r="R3">
        <v>1</v>
      </c>
      <c r="S3" s="1">
        <v>1</v>
      </c>
    </row>
    <row r="4" spans="1:20" x14ac:dyDescent="0.25">
      <c r="A4" s="14">
        <v>18000201</v>
      </c>
      <c r="B4" s="14">
        <v>180</v>
      </c>
      <c r="C4" s="1" t="s">
        <v>366</v>
      </c>
      <c r="D4" s="14">
        <v>1</v>
      </c>
      <c r="E4" t="s">
        <v>74</v>
      </c>
      <c r="F4" s="14" t="s">
        <v>78</v>
      </c>
      <c r="G4" s="14" t="s">
        <v>179</v>
      </c>
      <c r="H4" s="14" t="s">
        <v>180</v>
      </c>
      <c r="I4" s="14" t="s">
        <v>363</v>
      </c>
      <c r="J4" s="1" t="s">
        <v>360</v>
      </c>
      <c r="K4" s="1" t="s">
        <v>370</v>
      </c>
      <c r="L4" s="15">
        <v>45981</v>
      </c>
      <c r="M4" s="18">
        <v>79</v>
      </c>
      <c r="N4" s="14">
        <v>38</v>
      </c>
      <c r="O4" s="1">
        <v>38</v>
      </c>
      <c r="P4" s="1">
        <v>38</v>
      </c>
      <c r="Q4" s="1">
        <v>12</v>
      </c>
      <c r="R4" s="1">
        <f>RANK(M4,M$2:M$17,0)</f>
        <v>4</v>
      </c>
      <c r="S4" s="1">
        <f>RANK(M4,$M$2:$M$17,0)</f>
        <v>4</v>
      </c>
    </row>
    <row r="5" spans="1:20" x14ac:dyDescent="0.25">
      <c r="A5" s="14">
        <v>18200201</v>
      </c>
      <c r="B5" s="14">
        <v>182</v>
      </c>
      <c r="C5" s="1" t="s">
        <v>368</v>
      </c>
      <c r="D5" s="14">
        <v>1</v>
      </c>
      <c r="E5" t="s">
        <v>74</v>
      </c>
      <c r="F5" s="14" t="s">
        <v>155</v>
      </c>
      <c r="G5" s="14" t="s">
        <v>321</v>
      </c>
      <c r="H5" s="14" t="s">
        <v>322</v>
      </c>
      <c r="I5" s="14" t="s">
        <v>365</v>
      </c>
      <c r="J5" s="1" t="s">
        <v>362</v>
      </c>
      <c r="K5" s="1" t="s">
        <v>370</v>
      </c>
      <c r="L5" s="15">
        <v>45981</v>
      </c>
      <c r="M5" s="18">
        <v>69</v>
      </c>
      <c r="N5" s="14">
        <v>57</v>
      </c>
      <c r="O5" s="1">
        <v>37</v>
      </c>
      <c r="P5" s="1">
        <v>37</v>
      </c>
      <c r="Q5" s="1">
        <v>37</v>
      </c>
      <c r="R5">
        <v>2</v>
      </c>
      <c r="S5" s="1">
        <v>2</v>
      </c>
    </row>
    <row r="6" spans="1:20" x14ac:dyDescent="0.25">
      <c r="A6" s="14">
        <v>18000301</v>
      </c>
      <c r="B6" s="14">
        <v>180</v>
      </c>
      <c r="C6" s="1" t="s">
        <v>366</v>
      </c>
      <c r="D6" s="14">
        <v>1</v>
      </c>
      <c r="E6" t="s">
        <v>74</v>
      </c>
      <c r="F6" s="14" t="s">
        <v>79</v>
      </c>
      <c r="G6" s="14" t="s">
        <v>181</v>
      </c>
      <c r="H6" s="14" t="s">
        <v>182</v>
      </c>
      <c r="I6" s="14" t="s">
        <v>363</v>
      </c>
      <c r="J6" s="1" t="s">
        <v>360</v>
      </c>
      <c r="K6" s="1" t="s">
        <v>370</v>
      </c>
      <c r="L6" s="15">
        <v>45981</v>
      </c>
      <c r="M6" s="18">
        <v>39</v>
      </c>
      <c r="N6" s="14">
        <v>111</v>
      </c>
      <c r="O6" s="1">
        <v>111</v>
      </c>
      <c r="P6" s="1">
        <v>111</v>
      </c>
      <c r="Q6" s="1">
        <v>49</v>
      </c>
      <c r="R6" s="1">
        <f>RANK(M6,M$2:M$17,0)</f>
        <v>11</v>
      </c>
      <c r="S6" s="1">
        <f>RANK(M6,$M$2:$M$17,0)</f>
        <v>11</v>
      </c>
    </row>
    <row r="7" spans="1:20" x14ac:dyDescent="0.25">
      <c r="A7" s="14">
        <v>18200301</v>
      </c>
      <c r="B7" s="14">
        <v>182</v>
      </c>
      <c r="C7" s="1" t="s">
        <v>368</v>
      </c>
      <c r="D7" s="14">
        <v>1</v>
      </c>
      <c r="E7" t="s">
        <v>74</v>
      </c>
      <c r="F7" s="14" t="s">
        <v>156</v>
      </c>
      <c r="G7" s="14" t="s">
        <v>323</v>
      </c>
      <c r="H7" s="14" t="s">
        <v>324</v>
      </c>
      <c r="I7" s="14" t="s">
        <v>365</v>
      </c>
      <c r="J7" s="1" t="s">
        <v>362</v>
      </c>
      <c r="K7" s="1" t="s">
        <v>370</v>
      </c>
      <c r="L7" s="15">
        <v>45981</v>
      </c>
      <c r="M7" s="18">
        <v>58</v>
      </c>
      <c r="N7" s="14">
        <v>80</v>
      </c>
      <c r="O7" s="1">
        <v>54</v>
      </c>
      <c r="P7" s="1">
        <v>54</v>
      </c>
      <c r="Q7" s="1">
        <v>54</v>
      </c>
      <c r="R7">
        <v>3</v>
      </c>
      <c r="S7" s="1">
        <v>3</v>
      </c>
    </row>
    <row r="8" spans="1:20" x14ac:dyDescent="0.25">
      <c r="A8" s="14">
        <v>18200901</v>
      </c>
      <c r="B8" s="14">
        <v>182</v>
      </c>
      <c r="C8" s="1" t="s">
        <v>368</v>
      </c>
      <c r="D8" s="14">
        <v>1</v>
      </c>
      <c r="E8" t="s">
        <v>76</v>
      </c>
      <c r="F8" s="14" t="s">
        <v>162</v>
      </c>
      <c r="G8" s="14" t="s">
        <v>333</v>
      </c>
      <c r="H8" s="14" t="s">
        <v>271</v>
      </c>
      <c r="I8" s="14" t="s">
        <v>365</v>
      </c>
      <c r="J8" s="1" t="s">
        <v>362</v>
      </c>
      <c r="K8" s="1" t="s">
        <v>370</v>
      </c>
      <c r="L8" s="15">
        <v>45981</v>
      </c>
      <c r="M8" s="18">
        <v>28</v>
      </c>
      <c r="N8" s="14">
        <v>126</v>
      </c>
      <c r="O8" s="1">
        <v>88</v>
      </c>
      <c r="P8" s="1">
        <v>88</v>
      </c>
      <c r="Q8" s="1">
        <v>88</v>
      </c>
      <c r="R8" s="16">
        <v>4</v>
      </c>
      <c r="S8" s="16">
        <v>4</v>
      </c>
    </row>
    <row r="9" spans="1:20" x14ac:dyDescent="0.25">
      <c r="A9" s="14">
        <v>18000401</v>
      </c>
      <c r="B9" s="14">
        <v>180</v>
      </c>
      <c r="C9" s="1" t="s">
        <v>366</v>
      </c>
      <c r="D9" s="14">
        <v>1</v>
      </c>
      <c r="E9" t="s">
        <v>74</v>
      </c>
      <c r="F9" s="14" t="s">
        <v>80</v>
      </c>
      <c r="G9" s="14" t="s">
        <v>183</v>
      </c>
      <c r="H9" s="14" t="s">
        <v>184</v>
      </c>
      <c r="I9" s="14" t="s">
        <v>363</v>
      </c>
      <c r="J9" s="1" t="s">
        <v>360</v>
      </c>
      <c r="K9" s="1" t="s">
        <v>370</v>
      </c>
      <c r="L9" s="15">
        <v>45981</v>
      </c>
      <c r="M9" s="18">
        <v>26</v>
      </c>
      <c r="N9" s="14">
        <v>129</v>
      </c>
      <c r="O9" s="1">
        <v>129</v>
      </c>
      <c r="P9" s="1">
        <v>129</v>
      </c>
      <c r="Q9" s="1">
        <v>60</v>
      </c>
      <c r="R9" s="1">
        <f t="shared" ref="R9:R11" si="0">RANK(M9,M$2:M$17,0)</f>
        <v>15</v>
      </c>
      <c r="S9" s="1">
        <f t="shared" ref="S9:S11" si="1">RANK(M9,$M$2:$M$17,0)</f>
        <v>15</v>
      </c>
    </row>
    <row r="10" spans="1:20" x14ac:dyDescent="0.25">
      <c r="A10" s="14">
        <v>18000501</v>
      </c>
      <c r="B10" s="14">
        <v>180</v>
      </c>
      <c r="C10" s="1" t="s">
        <v>366</v>
      </c>
      <c r="D10" s="14">
        <v>1</v>
      </c>
      <c r="E10" t="s">
        <v>74</v>
      </c>
      <c r="F10" s="14" t="s">
        <v>81</v>
      </c>
      <c r="G10" s="14" t="s">
        <v>185</v>
      </c>
      <c r="H10" s="14" t="s">
        <v>186</v>
      </c>
      <c r="I10" s="14" t="s">
        <v>363</v>
      </c>
      <c r="J10" s="1" t="s">
        <v>360</v>
      </c>
      <c r="K10" s="1" t="s">
        <v>370</v>
      </c>
      <c r="L10" s="15">
        <v>45981</v>
      </c>
      <c r="M10" s="18">
        <v>87</v>
      </c>
      <c r="N10" s="14">
        <v>23</v>
      </c>
      <c r="O10" s="1">
        <v>23</v>
      </c>
      <c r="P10" s="1">
        <v>23</v>
      </c>
      <c r="Q10" s="1">
        <v>9</v>
      </c>
      <c r="R10" s="1">
        <f t="shared" si="0"/>
        <v>3</v>
      </c>
      <c r="S10" s="1">
        <f t="shared" si="1"/>
        <v>3</v>
      </c>
    </row>
    <row r="11" spans="1:20" x14ac:dyDescent="0.25">
      <c r="A11" s="14">
        <v>18000601</v>
      </c>
      <c r="B11" s="14">
        <v>180</v>
      </c>
      <c r="C11" s="1" t="s">
        <v>366</v>
      </c>
      <c r="D11" s="14">
        <v>1</v>
      </c>
      <c r="E11" t="s">
        <v>74</v>
      </c>
      <c r="F11" s="14" t="s">
        <v>82</v>
      </c>
      <c r="G11" s="14" t="s">
        <v>82</v>
      </c>
      <c r="H11" s="14" t="s">
        <v>187</v>
      </c>
      <c r="I11" s="14" t="s">
        <v>363</v>
      </c>
      <c r="J11" s="1" t="s">
        <v>360</v>
      </c>
      <c r="K11" s="1" t="s">
        <v>370</v>
      </c>
      <c r="L11" s="15">
        <v>45981</v>
      </c>
      <c r="M11" s="18">
        <v>25</v>
      </c>
      <c r="N11" s="14">
        <v>130</v>
      </c>
      <c r="O11" s="1">
        <v>130</v>
      </c>
      <c r="P11" s="1">
        <v>130</v>
      </c>
      <c r="Q11" s="1">
        <v>61</v>
      </c>
      <c r="R11" s="1">
        <f t="shared" si="0"/>
        <v>16</v>
      </c>
      <c r="S11" s="1">
        <f t="shared" si="1"/>
        <v>16</v>
      </c>
    </row>
    <row r="12" spans="1:20" x14ac:dyDescent="0.25">
      <c r="A12" s="14">
        <v>18200501</v>
      </c>
      <c r="B12" s="14">
        <v>182</v>
      </c>
      <c r="C12" s="1" t="s">
        <v>368</v>
      </c>
      <c r="D12" s="14">
        <v>1</v>
      </c>
      <c r="E12" t="s">
        <v>74</v>
      </c>
      <c r="F12" s="14" t="s">
        <v>158</v>
      </c>
      <c r="G12" s="14" t="s">
        <v>327</v>
      </c>
      <c r="H12" s="14" t="s">
        <v>328</v>
      </c>
      <c r="I12" s="14" t="s">
        <v>365</v>
      </c>
      <c r="J12" s="1" t="s">
        <v>362</v>
      </c>
      <c r="K12" s="1" t="s">
        <v>370</v>
      </c>
      <c r="L12" s="15">
        <v>45981</v>
      </c>
      <c r="M12" s="18">
        <v>50</v>
      </c>
      <c r="N12" s="14">
        <v>95</v>
      </c>
      <c r="O12" s="1">
        <v>66</v>
      </c>
      <c r="P12" s="1">
        <v>66</v>
      </c>
      <c r="Q12" s="1">
        <v>66</v>
      </c>
      <c r="R12" s="16">
        <v>5</v>
      </c>
      <c r="S12" s="16">
        <v>5</v>
      </c>
    </row>
    <row r="13" spans="1:20" x14ac:dyDescent="0.25">
      <c r="A13" s="14">
        <v>18000701</v>
      </c>
      <c r="B13" s="14">
        <v>180</v>
      </c>
      <c r="C13" s="1" t="s">
        <v>366</v>
      </c>
      <c r="D13" s="14">
        <v>1</v>
      </c>
      <c r="E13" t="s">
        <v>74</v>
      </c>
      <c r="F13" s="14" t="s">
        <v>83</v>
      </c>
      <c r="G13" s="14" t="s">
        <v>188</v>
      </c>
      <c r="H13" s="14" t="s">
        <v>189</v>
      </c>
      <c r="I13" s="14" t="s">
        <v>363</v>
      </c>
      <c r="J13" s="1" t="s">
        <v>360</v>
      </c>
      <c r="K13" s="1" t="s">
        <v>370</v>
      </c>
      <c r="L13" s="15">
        <v>45981</v>
      </c>
      <c r="M13" s="18">
        <v>68</v>
      </c>
      <c r="N13" s="14">
        <v>60</v>
      </c>
      <c r="O13" s="1">
        <v>60</v>
      </c>
      <c r="P13" s="1">
        <v>60</v>
      </c>
      <c r="Q13" s="1">
        <v>25</v>
      </c>
      <c r="R13" s="1">
        <f t="shared" ref="R13:R14" si="2">RANK(M13,M$2:M$17,0)</f>
        <v>6</v>
      </c>
      <c r="S13" s="1">
        <f t="shared" ref="S13:S14" si="3">RANK(M13,$M$2:$M$17,0)</f>
        <v>6</v>
      </c>
    </row>
    <row r="14" spans="1:20" x14ac:dyDescent="0.25">
      <c r="A14" s="14">
        <v>18000801</v>
      </c>
      <c r="B14" s="14">
        <v>180</v>
      </c>
      <c r="C14" s="1" t="s">
        <v>366</v>
      </c>
      <c r="D14" s="14">
        <v>1</v>
      </c>
      <c r="E14" t="s">
        <v>74</v>
      </c>
      <c r="F14" s="14" t="s">
        <v>84</v>
      </c>
      <c r="G14" s="14" t="s">
        <v>190</v>
      </c>
      <c r="H14" s="14" t="s">
        <v>191</v>
      </c>
      <c r="I14" s="14" t="s">
        <v>363</v>
      </c>
      <c r="J14" s="1" t="s">
        <v>360</v>
      </c>
      <c r="K14" s="1" t="s">
        <v>370</v>
      </c>
      <c r="L14" s="15">
        <v>45981</v>
      </c>
      <c r="M14" s="18">
        <v>34</v>
      </c>
      <c r="N14" s="14">
        <v>121</v>
      </c>
      <c r="O14" s="1">
        <v>121</v>
      </c>
      <c r="P14" s="1">
        <v>121</v>
      </c>
      <c r="Q14" s="1">
        <v>55</v>
      </c>
      <c r="R14" s="1">
        <f t="shared" si="2"/>
        <v>13</v>
      </c>
      <c r="S14" s="1">
        <f t="shared" si="3"/>
        <v>13</v>
      </c>
    </row>
    <row r="15" spans="1:20" x14ac:dyDescent="0.25">
      <c r="A15" s="14">
        <v>18200701</v>
      </c>
      <c r="B15" s="14">
        <v>182</v>
      </c>
      <c r="C15" s="1" t="s">
        <v>368</v>
      </c>
      <c r="D15" s="14">
        <v>1</v>
      </c>
      <c r="E15" t="s">
        <v>74</v>
      </c>
      <c r="F15" s="14" t="s">
        <v>160</v>
      </c>
      <c r="G15" s="14" t="s">
        <v>329</v>
      </c>
      <c r="H15" s="14" t="s">
        <v>330</v>
      </c>
      <c r="I15" s="14" t="s">
        <v>365</v>
      </c>
      <c r="J15" s="1" t="s">
        <v>362</v>
      </c>
      <c r="K15" s="1" t="s">
        <v>370</v>
      </c>
      <c r="L15" s="15">
        <v>45981</v>
      </c>
      <c r="M15" s="18">
        <v>97</v>
      </c>
      <c r="N15" s="14">
        <v>6</v>
      </c>
      <c r="O15" s="1">
        <v>5</v>
      </c>
      <c r="P15" s="1">
        <v>5</v>
      </c>
      <c r="Q15" s="1">
        <v>5</v>
      </c>
      <c r="R15" s="16">
        <v>6</v>
      </c>
      <c r="S15" s="16">
        <v>6</v>
      </c>
    </row>
    <row r="16" spans="1:20" x14ac:dyDescent="0.25">
      <c r="A16" s="14">
        <v>18000901</v>
      </c>
      <c r="B16" s="14">
        <v>180</v>
      </c>
      <c r="C16" s="1" t="s">
        <v>366</v>
      </c>
      <c r="D16" s="14">
        <v>1</v>
      </c>
      <c r="E16" t="s">
        <v>74</v>
      </c>
      <c r="F16" s="14" t="s">
        <v>85</v>
      </c>
      <c r="G16" s="14" t="s">
        <v>192</v>
      </c>
      <c r="H16" s="14" t="s">
        <v>193</v>
      </c>
      <c r="I16" s="14" t="s">
        <v>363</v>
      </c>
      <c r="J16" s="1" t="s">
        <v>360</v>
      </c>
      <c r="K16" s="1" t="s">
        <v>370</v>
      </c>
      <c r="L16" s="15">
        <v>45981</v>
      </c>
      <c r="M16" s="18">
        <v>53</v>
      </c>
      <c r="N16" s="14">
        <v>90</v>
      </c>
      <c r="O16" s="1">
        <v>90</v>
      </c>
      <c r="P16" s="1">
        <v>90</v>
      </c>
      <c r="Q16" s="1">
        <v>39</v>
      </c>
      <c r="R16" s="1">
        <f t="shared" ref="R16:R17" si="4">RANK(M16,M$2:M$17,0)</f>
        <v>9</v>
      </c>
      <c r="S16" s="1">
        <f t="shared" ref="S16:S17" si="5">RANK(M16,$M$2:$M$17,0)</f>
        <v>9</v>
      </c>
    </row>
    <row r="17" spans="1:19" x14ac:dyDescent="0.25">
      <c r="A17" s="14">
        <v>18001001</v>
      </c>
      <c r="B17" s="14">
        <v>180</v>
      </c>
      <c r="C17" s="1" t="s">
        <v>366</v>
      </c>
      <c r="D17" s="14">
        <v>1</v>
      </c>
      <c r="E17" t="s">
        <v>74</v>
      </c>
      <c r="F17" s="14" t="s">
        <v>86</v>
      </c>
      <c r="G17" s="14" t="s">
        <v>194</v>
      </c>
      <c r="H17" s="14" t="s">
        <v>195</v>
      </c>
      <c r="I17" s="14" t="s">
        <v>363</v>
      </c>
      <c r="J17" s="1" t="s">
        <v>360</v>
      </c>
      <c r="K17" s="1" t="s">
        <v>370</v>
      </c>
      <c r="L17" s="15">
        <v>45981</v>
      </c>
      <c r="M17" s="18">
        <v>37</v>
      </c>
      <c r="N17" s="14">
        <v>112</v>
      </c>
      <c r="O17" s="1">
        <v>112</v>
      </c>
      <c r="P17" s="1">
        <v>112</v>
      </c>
      <c r="Q17" s="1">
        <v>50</v>
      </c>
      <c r="R17" s="1">
        <f t="shared" si="4"/>
        <v>12</v>
      </c>
      <c r="S17" s="1">
        <f t="shared" si="5"/>
        <v>12</v>
      </c>
    </row>
    <row r="18" spans="1:19" x14ac:dyDescent="0.25">
      <c r="A18" s="14">
        <v>18001101</v>
      </c>
      <c r="B18" s="14">
        <v>180</v>
      </c>
      <c r="C18" s="1" t="s">
        <v>366</v>
      </c>
      <c r="D18" s="14">
        <v>1</v>
      </c>
      <c r="E18" t="s">
        <v>76</v>
      </c>
      <c r="F18" s="14" t="s">
        <v>87</v>
      </c>
      <c r="G18" s="14" t="s">
        <v>196</v>
      </c>
      <c r="H18" s="14" t="s">
        <v>197</v>
      </c>
      <c r="I18" s="14" t="s">
        <v>363</v>
      </c>
      <c r="J18" s="1" t="s">
        <v>360</v>
      </c>
      <c r="K18" s="1" t="s">
        <v>370</v>
      </c>
      <c r="L18" s="15">
        <v>45981</v>
      </c>
      <c r="M18" s="18">
        <v>36</v>
      </c>
      <c r="N18" s="14">
        <v>116</v>
      </c>
      <c r="O18" s="1">
        <v>116</v>
      </c>
      <c r="P18" s="1">
        <v>116</v>
      </c>
      <c r="Q18" s="1">
        <v>53</v>
      </c>
      <c r="R18" s="1">
        <f t="shared" ref="R18" si="6">RANK(M18,$M$2:$M$68,0)</f>
        <v>53</v>
      </c>
      <c r="S18" s="1">
        <v>1</v>
      </c>
    </row>
    <row r="19" spans="1:19" x14ac:dyDescent="0.25">
      <c r="A19" s="14">
        <v>18000102</v>
      </c>
      <c r="B19" s="14">
        <v>180</v>
      </c>
      <c r="C19" s="1" t="s">
        <v>366</v>
      </c>
      <c r="D19" s="14">
        <v>2</v>
      </c>
      <c r="E19" t="s">
        <v>74</v>
      </c>
      <c r="F19" s="14" t="s">
        <v>94</v>
      </c>
      <c r="G19" s="14" t="s">
        <v>210</v>
      </c>
      <c r="H19" s="14" t="s">
        <v>211</v>
      </c>
      <c r="I19" s="14" t="s">
        <v>363</v>
      </c>
      <c r="J19" s="1" t="s">
        <v>360</v>
      </c>
      <c r="K19" s="1" t="s">
        <v>370</v>
      </c>
      <c r="L19" s="15">
        <v>45981</v>
      </c>
      <c r="M19" s="18">
        <v>92</v>
      </c>
      <c r="N19" s="14">
        <v>18</v>
      </c>
      <c r="O19" s="1">
        <v>18</v>
      </c>
      <c r="P19" s="1">
        <v>18</v>
      </c>
      <c r="Q19" s="1">
        <v>6</v>
      </c>
      <c r="R19" s="16">
        <f>RANK(M19,$M$19:$M$34,0)</f>
        <v>2</v>
      </c>
      <c r="S19" s="16">
        <v>1</v>
      </c>
    </row>
    <row r="20" spans="1:19" x14ac:dyDescent="0.25">
      <c r="A20" s="14">
        <v>18000202</v>
      </c>
      <c r="B20" s="14">
        <v>180</v>
      </c>
      <c r="C20" s="1" t="s">
        <v>366</v>
      </c>
      <c r="D20" s="14">
        <v>2</v>
      </c>
      <c r="E20" t="s">
        <v>74</v>
      </c>
      <c r="F20" s="14" t="s">
        <v>95</v>
      </c>
      <c r="G20" s="14" t="s">
        <v>212</v>
      </c>
      <c r="H20" s="14" t="s">
        <v>213</v>
      </c>
      <c r="I20" s="14" t="s">
        <v>363</v>
      </c>
      <c r="J20" s="1" t="s">
        <v>360</v>
      </c>
      <c r="K20" s="1" t="s">
        <v>370</v>
      </c>
      <c r="L20" s="15">
        <v>45981</v>
      </c>
      <c r="M20" s="18">
        <v>76</v>
      </c>
      <c r="N20" s="14">
        <v>47</v>
      </c>
      <c r="O20" s="1">
        <v>47</v>
      </c>
      <c r="P20" s="1">
        <v>47</v>
      </c>
      <c r="Q20" s="1">
        <v>17</v>
      </c>
      <c r="R20" s="16">
        <f t="shared" ref="R20:R34" si="7">RANK(M20,$M$19:$M$34,0)</f>
        <v>5</v>
      </c>
      <c r="S20" s="16">
        <v>2</v>
      </c>
    </row>
    <row r="21" spans="1:19" x14ac:dyDescent="0.25">
      <c r="A21" s="14">
        <v>18000302</v>
      </c>
      <c r="B21" s="14">
        <v>180</v>
      </c>
      <c r="C21" s="1" t="s">
        <v>366</v>
      </c>
      <c r="D21" s="14">
        <v>2</v>
      </c>
      <c r="E21" t="s">
        <v>74</v>
      </c>
      <c r="F21" s="14" t="s">
        <v>96</v>
      </c>
      <c r="G21" s="14" t="s">
        <v>214</v>
      </c>
      <c r="H21" s="14" t="s">
        <v>215</v>
      </c>
      <c r="I21" s="14" t="s">
        <v>363</v>
      </c>
      <c r="J21" s="1" t="s">
        <v>360</v>
      </c>
      <c r="K21" s="1" t="s">
        <v>370</v>
      </c>
      <c r="L21" s="15">
        <v>45981</v>
      </c>
      <c r="M21" s="18">
        <v>55</v>
      </c>
      <c r="N21" s="14">
        <v>84</v>
      </c>
      <c r="O21" s="1">
        <v>84</v>
      </c>
      <c r="P21" s="1">
        <v>84</v>
      </c>
      <c r="Q21" s="1">
        <v>37</v>
      </c>
      <c r="R21" s="16">
        <f t="shared" si="7"/>
        <v>9</v>
      </c>
      <c r="S21" s="16">
        <v>3</v>
      </c>
    </row>
    <row r="22" spans="1:19" x14ac:dyDescent="0.25">
      <c r="A22" s="14">
        <v>18000402</v>
      </c>
      <c r="B22" s="14">
        <v>180</v>
      </c>
      <c r="C22" s="1" t="s">
        <v>366</v>
      </c>
      <c r="D22" s="14">
        <v>2</v>
      </c>
      <c r="E22" t="s">
        <v>74</v>
      </c>
      <c r="F22" s="14" t="s">
        <v>97</v>
      </c>
      <c r="G22" s="14" t="s">
        <v>216</v>
      </c>
      <c r="H22" s="14" t="s">
        <v>217</v>
      </c>
      <c r="I22" s="14" t="s">
        <v>363</v>
      </c>
      <c r="J22" s="1" t="s">
        <v>360</v>
      </c>
      <c r="K22" s="1" t="s">
        <v>370</v>
      </c>
      <c r="L22" s="15">
        <v>45981</v>
      </c>
      <c r="M22" s="18">
        <v>54</v>
      </c>
      <c r="N22" s="14">
        <v>88</v>
      </c>
      <c r="O22" s="1">
        <v>88</v>
      </c>
      <c r="P22" s="1">
        <v>88</v>
      </c>
      <c r="Q22" s="1">
        <v>38</v>
      </c>
      <c r="R22" s="16">
        <f t="shared" si="7"/>
        <v>10</v>
      </c>
      <c r="S22" s="16">
        <v>4</v>
      </c>
    </row>
    <row r="23" spans="1:19" x14ac:dyDescent="0.25">
      <c r="A23" s="14">
        <v>18000502</v>
      </c>
      <c r="B23" s="14">
        <v>180</v>
      </c>
      <c r="C23" s="1" t="s">
        <v>366</v>
      </c>
      <c r="D23" s="14">
        <v>2</v>
      </c>
      <c r="E23" t="s">
        <v>74</v>
      </c>
      <c r="F23" s="14" t="s">
        <v>98</v>
      </c>
      <c r="G23" s="14" t="s">
        <v>218</v>
      </c>
      <c r="H23" s="14" t="s">
        <v>219</v>
      </c>
      <c r="I23" s="14" t="s">
        <v>363</v>
      </c>
      <c r="J23" s="1" t="s">
        <v>360</v>
      </c>
      <c r="K23" s="1" t="s">
        <v>370</v>
      </c>
      <c r="L23" s="15">
        <v>45981</v>
      </c>
      <c r="M23" s="18">
        <v>42</v>
      </c>
      <c r="N23" s="14">
        <v>106</v>
      </c>
      <c r="O23" s="1">
        <v>106</v>
      </c>
      <c r="P23" s="1">
        <v>106</v>
      </c>
      <c r="Q23" s="1">
        <v>47</v>
      </c>
      <c r="R23" s="16">
        <f t="shared" si="7"/>
        <v>13</v>
      </c>
      <c r="S23" s="16">
        <v>5</v>
      </c>
    </row>
    <row r="24" spans="1:19" x14ac:dyDescent="0.25">
      <c r="A24" s="14">
        <v>18000602</v>
      </c>
      <c r="B24" s="14">
        <v>180</v>
      </c>
      <c r="C24" s="1" t="s">
        <v>366</v>
      </c>
      <c r="D24" s="14">
        <v>2</v>
      </c>
      <c r="E24" t="s">
        <v>74</v>
      </c>
      <c r="F24" s="14" t="s">
        <v>99</v>
      </c>
      <c r="G24" s="14" t="s">
        <v>220</v>
      </c>
      <c r="H24" s="14" t="s">
        <v>221</v>
      </c>
      <c r="I24" s="14" t="s">
        <v>363</v>
      </c>
      <c r="J24" s="1" t="s">
        <v>360</v>
      </c>
      <c r="K24" s="1" t="s">
        <v>370</v>
      </c>
      <c r="L24" s="15">
        <v>45981</v>
      </c>
      <c r="M24" s="18">
        <v>43</v>
      </c>
      <c r="N24" s="14">
        <v>105</v>
      </c>
      <c r="O24" s="1">
        <v>105</v>
      </c>
      <c r="P24" s="1">
        <v>105</v>
      </c>
      <c r="Q24" s="1">
        <v>46</v>
      </c>
      <c r="R24" s="16">
        <f t="shared" si="7"/>
        <v>12</v>
      </c>
      <c r="S24" s="16">
        <v>6</v>
      </c>
    </row>
    <row r="25" spans="1:19" x14ac:dyDescent="0.25">
      <c r="A25" s="14">
        <v>18000702</v>
      </c>
      <c r="B25" s="14">
        <v>180</v>
      </c>
      <c r="C25" s="1" t="s">
        <v>366</v>
      </c>
      <c r="D25" s="14">
        <v>2</v>
      </c>
      <c r="E25" t="s">
        <v>74</v>
      </c>
      <c r="F25" s="14" t="s">
        <v>100</v>
      </c>
      <c r="G25" s="14" t="s">
        <v>222</v>
      </c>
      <c r="H25" s="14" t="s">
        <v>223</v>
      </c>
      <c r="I25" s="14" t="s">
        <v>363</v>
      </c>
      <c r="J25" s="1" t="s">
        <v>360</v>
      </c>
      <c r="K25" s="1" t="s">
        <v>370</v>
      </c>
      <c r="L25" s="15">
        <v>45981</v>
      </c>
      <c r="M25" s="18">
        <v>57</v>
      </c>
      <c r="N25" s="14">
        <v>82</v>
      </c>
      <c r="O25" s="1">
        <v>82</v>
      </c>
      <c r="P25" s="1">
        <v>82</v>
      </c>
      <c r="Q25" s="1">
        <v>36</v>
      </c>
      <c r="R25" s="16">
        <f t="shared" si="7"/>
        <v>8</v>
      </c>
      <c r="S25" s="16">
        <v>7</v>
      </c>
    </row>
    <row r="26" spans="1:19" x14ac:dyDescent="0.25">
      <c r="A26" s="14">
        <v>18000802</v>
      </c>
      <c r="B26" s="14">
        <v>180</v>
      </c>
      <c r="C26" s="1" t="s">
        <v>366</v>
      </c>
      <c r="D26" s="14">
        <v>2</v>
      </c>
      <c r="E26" t="s">
        <v>74</v>
      </c>
      <c r="F26" s="14" t="s">
        <v>101</v>
      </c>
      <c r="G26" s="14" t="s">
        <v>224</v>
      </c>
      <c r="H26" s="14" t="s">
        <v>225</v>
      </c>
      <c r="I26" s="14" t="s">
        <v>363</v>
      </c>
      <c r="J26" s="1" t="s">
        <v>360</v>
      </c>
      <c r="K26" s="1" t="s">
        <v>370</v>
      </c>
      <c r="L26" s="15">
        <v>45981</v>
      </c>
      <c r="M26" s="18">
        <v>67</v>
      </c>
      <c r="N26" s="14">
        <v>62</v>
      </c>
      <c r="O26" s="1">
        <v>62</v>
      </c>
      <c r="P26" s="1">
        <v>62</v>
      </c>
      <c r="Q26" s="1">
        <v>26</v>
      </c>
      <c r="R26" s="16">
        <f t="shared" si="7"/>
        <v>7</v>
      </c>
      <c r="S26" s="16">
        <v>8</v>
      </c>
    </row>
    <row r="27" spans="1:19" x14ac:dyDescent="0.25">
      <c r="A27" s="14">
        <v>18000902</v>
      </c>
      <c r="B27" s="14">
        <v>180</v>
      </c>
      <c r="C27" s="1" t="s">
        <v>366</v>
      </c>
      <c r="D27" s="14">
        <v>2</v>
      </c>
      <c r="E27" t="s">
        <v>74</v>
      </c>
      <c r="F27" s="14" t="s">
        <v>102</v>
      </c>
      <c r="G27" s="14" t="s">
        <v>226</v>
      </c>
      <c r="H27" s="14" t="s">
        <v>227</v>
      </c>
      <c r="I27" s="14" t="s">
        <v>363</v>
      </c>
      <c r="J27" s="1" t="s">
        <v>360</v>
      </c>
      <c r="K27" s="1" t="s">
        <v>370</v>
      </c>
      <c r="L27" s="15">
        <v>45981</v>
      </c>
      <c r="M27" s="18">
        <v>78</v>
      </c>
      <c r="N27" s="14">
        <v>40</v>
      </c>
      <c r="O27" s="1">
        <v>40</v>
      </c>
      <c r="P27" s="1">
        <v>40</v>
      </c>
      <c r="Q27" s="1">
        <v>14</v>
      </c>
      <c r="R27" s="16">
        <f t="shared" si="7"/>
        <v>4</v>
      </c>
      <c r="S27" s="16">
        <v>9</v>
      </c>
    </row>
    <row r="28" spans="1:19" x14ac:dyDescent="0.25">
      <c r="A28" s="14">
        <v>18001002</v>
      </c>
      <c r="B28" s="14">
        <v>180</v>
      </c>
      <c r="C28" s="1" t="s">
        <v>366</v>
      </c>
      <c r="D28" s="14">
        <v>2</v>
      </c>
      <c r="E28" t="s">
        <v>74</v>
      </c>
      <c r="F28" s="14" t="s">
        <v>103</v>
      </c>
      <c r="G28" s="14" t="s">
        <v>228</v>
      </c>
      <c r="H28" s="14" t="s">
        <v>229</v>
      </c>
      <c r="I28" s="14" t="s">
        <v>363</v>
      </c>
      <c r="J28" s="1" t="s">
        <v>360</v>
      </c>
      <c r="K28" s="1" t="s">
        <v>370</v>
      </c>
      <c r="L28" s="15">
        <v>45981</v>
      </c>
      <c r="M28" s="18">
        <v>84</v>
      </c>
      <c r="N28" s="14">
        <v>27</v>
      </c>
      <c r="O28" s="1">
        <v>27</v>
      </c>
      <c r="P28" s="1">
        <v>27</v>
      </c>
      <c r="Q28" s="1">
        <v>10</v>
      </c>
      <c r="R28" s="16">
        <f t="shared" si="7"/>
        <v>3</v>
      </c>
      <c r="S28" s="16">
        <v>10</v>
      </c>
    </row>
    <row r="29" spans="1:19" x14ac:dyDescent="0.25">
      <c r="A29" s="14">
        <v>18001102</v>
      </c>
      <c r="B29" s="14">
        <v>180</v>
      </c>
      <c r="C29" s="1" t="s">
        <v>366</v>
      </c>
      <c r="D29" s="14">
        <v>2</v>
      </c>
      <c r="E29" t="s">
        <v>74</v>
      </c>
      <c r="F29" s="14" t="s">
        <v>104</v>
      </c>
      <c r="G29" s="14" t="s">
        <v>230</v>
      </c>
      <c r="H29" s="14" t="s">
        <v>231</v>
      </c>
      <c r="I29" s="14" t="s">
        <v>363</v>
      </c>
      <c r="J29" s="1" t="s">
        <v>360</v>
      </c>
      <c r="K29" s="1" t="s">
        <v>370</v>
      </c>
      <c r="L29" s="15">
        <v>45981</v>
      </c>
      <c r="M29" s="18">
        <v>21</v>
      </c>
      <c r="N29" s="14">
        <v>138</v>
      </c>
      <c r="O29" s="1">
        <v>138</v>
      </c>
      <c r="P29" s="1">
        <v>138</v>
      </c>
      <c r="Q29" s="1">
        <v>65</v>
      </c>
      <c r="R29" s="16">
        <f t="shared" si="7"/>
        <v>15</v>
      </c>
      <c r="S29" s="16">
        <v>11</v>
      </c>
    </row>
    <row r="30" spans="1:19" x14ac:dyDescent="0.25">
      <c r="A30" s="14">
        <v>18001202</v>
      </c>
      <c r="B30" s="14">
        <v>180</v>
      </c>
      <c r="C30" s="1" t="s">
        <v>366</v>
      </c>
      <c r="D30" s="14">
        <v>2</v>
      </c>
      <c r="E30" t="s">
        <v>74</v>
      </c>
      <c r="F30" s="14" t="s">
        <v>105</v>
      </c>
      <c r="G30" s="14" t="s">
        <v>232</v>
      </c>
      <c r="H30" s="14" t="s">
        <v>233</v>
      </c>
      <c r="I30" s="14" t="s">
        <v>363</v>
      </c>
      <c r="J30" s="1" t="s">
        <v>360</v>
      </c>
      <c r="K30" s="1" t="s">
        <v>370</v>
      </c>
      <c r="L30" s="15">
        <v>45981</v>
      </c>
      <c r="M30" s="18">
        <v>71</v>
      </c>
      <c r="N30" s="14">
        <v>53</v>
      </c>
      <c r="O30" s="1">
        <v>53</v>
      </c>
      <c r="P30" s="1">
        <v>53</v>
      </c>
      <c r="Q30" s="1">
        <v>21</v>
      </c>
      <c r="R30" s="16">
        <f t="shared" si="7"/>
        <v>6</v>
      </c>
      <c r="S30" s="16">
        <v>12</v>
      </c>
    </row>
    <row r="31" spans="1:19" x14ac:dyDescent="0.25">
      <c r="A31" s="14">
        <v>18001302</v>
      </c>
      <c r="B31" s="14">
        <v>180</v>
      </c>
      <c r="C31" s="1" t="s">
        <v>366</v>
      </c>
      <c r="D31" s="14">
        <v>2</v>
      </c>
      <c r="E31" t="s">
        <v>76</v>
      </c>
      <c r="F31" s="14" t="s">
        <v>106</v>
      </c>
      <c r="G31" s="14" t="s">
        <v>234</v>
      </c>
      <c r="H31" s="14" t="s">
        <v>235</v>
      </c>
      <c r="I31" s="14" t="s">
        <v>363</v>
      </c>
      <c r="J31" s="1" t="s">
        <v>360</v>
      </c>
      <c r="K31" s="1" t="s">
        <v>370</v>
      </c>
      <c r="L31" s="15">
        <v>45981</v>
      </c>
      <c r="M31" s="18">
        <v>52</v>
      </c>
      <c r="N31" s="14">
        <v>92</v>
      </c>
      <c r="O31" s="1">
        <v>92</v>
      </c>
      <c r="P31" s="1">
        <v>92</v>
      </c>
      <c r="Q31" s="1">
        <v>41</v>
      </c>
      <c r="R31" s="16">
        <f t="shared" si="7"/>
        <v>11</v>
      </c>
      <c r="S31" s="16">
        <v>1</v>
      </c>
    </row>
    <row r="32" spans="1:19" x14ac:dyDescent="0.25">
      <c r="A32" s="14">
        <v>18001402</v>
      </c>
      <c r="B32" s="14">
        <v>180</v>
      </c>
      <c r="C32" s="1" t="s">
        <v>366</v>
      </c>
      <c r="D32" s="14">
        <v>2</v>
      </c>
      <c r="E32" t="s">
        <v>76</v>
      </c>
      <c r="F32" s="14" t="s">
        <v>107</v>
      </c>
      <c r="G32" s="14" t="s">
        <v>236</v>
      </c>
      <c r="H32" s="14" t="s">
        <v>237</v>
      </c>
      <c r="I32" s="14" t="s">
        <v>363</v>
      </c>
      <c r="J32" s="1" t="s">
        <v>360</v>
      </c>
      <c r="K32" s="1" t="s">
        <v>370</v>
      </c>
      <c r="L32" s="15">
        <v>45981</v>
      </c>
      <c r="M32" s="18">
        <v>29</v>
      </c>
      <c r="N32" s="14">
        <v>124</v>
      </c>
      <c r="O32" s="1">
        <v>124</v>
      </c>
      <c r="P32" s="1">
        <v>124</v>
      </c>
      <c r="Q32" s="1">
        <v>58</v>
      </c>
      <c r="R32" s="16">
        <f t="shared" si="7"/>
        <v>14</v>
      </c>
      <c r="S32" s="16">
        <v>2</v>
      </c>
    </row>
    <row r="33" spans="1:19" x14ac:dyDescent="0.25">
      <c r="A33" s="14">
        <v>18001502</v>
      </c>
      <c r="B33" s="14">
        <v>180</v>
      </c>
      <c r="C33" s="1" t="s">
        <v>366</v>
      </c>
      <c r="D33" s="14">
        <v>2</v>
      </c>
      <c r="E33" t="s">
        <v>76</v>
      </c>
      <c r="F33" s="14" t="s">
        <v>108</v>
      </c>
      <c r="G33" s="14" t="s">
        <v>238</v>
      </c>
      <c r="H33" s="14" t="s">
        <v>211</v>
      </c>
      <c r="I33" s="14" t="s">
        <v>363</v>
      </c>
      <c r="J33" s="1" t="s">
        <v>360</v>
      </c>
      <c r="K33" s="1" t="s">
        <v>370</v>
      </c>
      <c r="L33" s="15">
        <v>45981</v>
      </c>
      <c r="M33" s="18">
        <v>95</v>
      </c>
      <c r="N33" s="14">
        <v>11</v>
      </c>
      <c r="O33" s="1">
        <v>11</v>
      </c>
      <c r="P33" s="1">
        <v>11</v>
      </c>
      <c r="Q33" s="1">
        <v>5</v>
      </c>
      <c r="R33" s="16">
        <f t="shared" si="7"/>
        <v>1</v>
      </c>
      <c r="S33" s="16">
        <v>3</v>
      </c>
    </row>
    <row r="34" spans="1:19" x14ac:dyDescent="0.25">
      <c r="A34" s="14">
        <v>18001602</v>
      </c>
      <c r="B34" s="14">
        <v>180</v>
      </c>
      <c r="C34" s="1" t="s">
        <v>366</v>
      </c>
      <c r="D34" s="14">
        <v>2</v>
      </c>
      <c r="E34" t="s">
        <v>76</v>
      </c>
      <c r="F34" s="14" t="s">
        <v>109</v>
      </c>
      <c r="G34" s="14" t="s">
        <v>239</v>
      </c>
      <c r="H34" s="14" t="s">
        <v>240</v>
      </c>
      <c r="I34" s="14" t="s">
        <v>363</v>
      </c>
      <c r="J34" s="1" t="s">
        <v>360</v>
      </c>
      <c r="K34" s="1" t="s">
        <v>370</v>
      </c>
      <c r="L34" s="15">
        <v>45981</v>
      </c>
      <c r="M34" s="18">
        <v>20</v>
      </c>
      <c r="N34" s="14">
        <v>143</v>
      </c>
      <c r="O34" s="1">
        <v>143</v>
      </c>
      <c r="P34" s="1">
        <v>143</v>
      </c>
      <c r="Q34" s="1">
        <v>67</v>
      </c>
      <c r="R34" s="16">
        <f t="shared" si="7"/>
        <v>16</v>
      </c>
      <c r="S34" s="16">
        <v>4</v>
      </c>
    </row>
    <row r="35" spans="1:19" x14ac:dyDescent="0.25">
      <c r="A35" s="14">
        <v>18000103</v>
      </c>
      <c r="B35" s="14">
        <v>180</v>
      </c>
      <c r="C35" s="1" t="s">
        <v>366</v>
      </c>
      <c r="D35" s="14">
        <v>3</v>
      </c>
      <c r="E35" t="s">
        <v>74</v>
      </c>
      <c r="F35" s="14" t="s">
        <v>110</v>
      </c>
      <c r="G35" s="14" t="s">
        <v>241</v>
      </c>
      <c r="H35" s="14" t="s">
        <v>242</v>
      </c>
      <c r="I35" s="14" t="s">
        <v>363</v>
      </c>
      <c r="J35" s="1" t="s">
        <v>360</v>
      </c>
      <c r="K35" s="1" t="s">
        <v>370</v>
      </c>
      <c r="L35" s="15">
        <v>45981</v>
      </c>
      <c r="M35" s="18">
        <v>77</v>
      </c>
      <c r="N35" s="14">
        <v>45</v>
      </c>
      <c r="O35" s="1">
        <v>45</v>
      </c>
      <c r="P35" s="1">
        <v>45</v>
      </c>
      <c r="Q35" s="1">
        <v>15</v>
      </c>
      <c r="R35" s="16">
        <f>RANK(M35,$M$35:$M$49,0)</f>
        <v>5</v>
      </c>
      <c r="S35" s="16">
        <v>1</v>
      </c>
    </row>
    <row r="36" spans="1:19" x14ac:dyDescent="0.25">
      <c r="A36" s="14">
        <v>18000203</v>
      </c>
      <c r="B36" s="14">
        <v>180</v>
      </c>
      <c r="C36" s="1" t="s">
        <v>366</v>
      </c>
      <c r="D36" s="14">
        <v>3</v>
      </c>
      <c r="E36" t="s">
        <v>74</v>
      </c>
      <c r="F36" s="14" t="s">
        <v>111</v>
      </c>
      <c r="G36" s="14" t="s">
        <v>243</v>
      </c>
      <c r="H36" s="14" t="s">
        <v>244</v>
      </c>
      <c r="I36" s="14" t="s">
        <v>363</v>
      </c>
      <c r="J36" s="1" t="s">
        <v>360</v>
      </c>
      <c r="K36" s="1" t="s">
        <v>370</v>
      </c>
      <c r="L36" s="15">
        <v>45981</v>
      </c>
      <c r="M36" s="18">
        <v>96</v>
      </c>
      <c r="N36" s="14">
        <v>9</v>
      </c>
      <c r="O36" s="1">
        <v>9</v>
      </c>
      <c r="P36" s="1">
        <v>9</v>
      </c>
      <c r="Q36" s="1">
        <v>4</v>
      </c>
      <c r="R36" s="16">
        <f t="shared" ref="R36:R49" si="8">RANK(M36,$M$35:$M$49,0)</f>
        <v>3</v>
      </c>
      <c r="S36" s="16">
        <v>2</v>
      </c>
    </row>
    <row r="37" spans="1:19" x14ac:dyDescent="0.25">
      <c r="A37" s="14">
        <v>18000303</v>
      </c>
      <c r="B37" s="14">
        <v>180</v>
      </c>
      <c r="C37" s="1" t="s">
        <v>366</v>
      </c>
      <c r="D37" s="14">
        <v>3</v>
      </c>
      <c r="E37" t="s">
        <v>74</v>
      </c>
      <c r="F37" s="14" t="s">
        <v>112</v>
      </c>
      <c r="G37" s="14" t="s">
        <v>245</v>
      </c>
      <c r="H37" s="14" t="s">
        <v>246</v>
      </c>
      <c r="I37" s="14" t="s">
        <v>363</v>
      </c>
      <c r="J37" s="1" t="s">
        <v>360</v>
      </c>
      <c r="K37" s="1" t="s">
        <v>370</v>
      </c>
      <c r="L37" s="15">
        <v>45981</v>
      </c>
      <c r="M37" s="18">
        <v>98</v>
      </c>
      <c r="N37" s="14">
        <v>4</v>
      </c>
      <c r="O37" s="1">
        <v>4</v>
      </c>
      <c r="P37" s="1">
        <v>4</v>
      </c>
      <c r="Q37" s="1">
        <v>1</v>
      </c>
      <c r="R37" s="16">
        <f t="shared" si="8"/>
        <v>1</v>
      </c>
      <c r="S37" s="16">
        <v>3</v>
      </c>
    </row>
    <row r="38" spans="1:19" x14ac:dyDescent="0.25">
      <c r="A38" s="14">
        <v>18000403</v>
      </c>
      <c r="B38" s="14">
        <v>180</v>
      </c>
      <c r="C38" s="1" t="s">
        <v>366</v>
      </c>
      <c r="D38" s="14">
        <v>3</v>
      </c>
      <c r="E38" t="s">
        <v>74</v>
      </c>
      <c r="F38" s="14" t="s">
        <v>113</v>
      </c>
      <c r="G38" s="14" t="s">
        <v>247</v>
      </c>
      <c r="H38" s="14" t="s">
        <v>248</v>
      </c>
      <c r="I38" s="14" t="s">
        <v>363</v>
      </c>
      <c r="J38" s="1" t="s">
        <v>360</v>
      </c>
      <c r="K38" s="1" t="s">
        <v>370</v>
      </c>
      <c r="L38" s="15">
        <v>45981</v>
      </c>
      <c r="M38" s="18">
        <v>74</v>
      </c>
      <c r="N38" s="14">
        <v>48</v>
      </c>
      <c r="O38" s="1">
        <v>48</v>
      </c>
      <c r="P38" s="1">
        <v>48</v>
      </c>
      <c r="Q38" s="1">
        <v>18</v>
      </c>
      <c r="R38" s="16">
        <f t="shared" si="8"/>
        <v>7</v>
      </c>
      <c r="S38" s="16">
        <v>4</v>
      </c>
    </row>
    <row r="39" spans="1:19" x14ac:dyDescent="0.25">
      <c r="A39" s="14">
        <v>18000503</v>
      </c>
      <c r="B39" s="14">
        <v>180</v>
      </c>
      <c r="C39" s="1" t="s">
        <v>366</v>
      </c>
      <c r="D39" s="14">
        <v>3</v>
      </c>
      <c r="E39" t="s">
        <v>74</v>
      </c>
      <c r="F39" s="14" t="s">
        <v>114</v>
      </c>
      <c r="G39" s="14" t="s">
        <v>249</v>
      </c>
      <c r="H39" s="14" t="s">
        <v>250</v>
      </c>
      <c r="I39" s="14" t="s">
        <v>363</v>
      </c>
      <c r="J39" s="1" t="s">
        <v>360</v>
      </c>
      <c r="K39" s="1" t="s">
        <v>370</v>
      </c>
      <c r="L39" s="15">
        <v>45981</v>
      </c>
      <c r="M39" s="18">
        <v>23</v>
      </c>
      <c r="N39" s="14">
        <v>135</v>
      </c>
      <c r="O39" s="1">
        <v>135</v>
      </c>
      <c r="P39" s="1">
        <v>135</v>
      </c>
      <c r="Q39" s="1">
        <v>64</v>
      </c>
      <c r="R39" s="16">
        <f t="shared" si="8"/>
        <v>15</v>
      </c>
      <c r="S39" s="16">
        <v>5</v>
      </c>
    </row>
    <row r="40" spans="1:19" x14ac:dyDescent="0.25">
      <c r="A40" s="14">
        <v>18000603</v>
      </c>
      <c r="B40" s="14">
        <v>180</v>
      </c>
      <c r="C40" s="1" t="s">
        <v>366</v>
      </c>
      <c r="D40" s="14">
        <v>3</v>
      </c>
      <c r="E40" t="s">
        <v>74</v>
      </c>
      <c r="F40" s="14" t="s">
        <v>115</v>
      </c>
      <c r="G40" s="14" t="s">
        <v>251</v>
      </c>
      <c r="H40" s="14" t="s">
        <v>252</v>
      </c>
      <c r="I40" s="14" t="s">
        <v>363</v>
      </c>
      <c r="J40" s="1" t="s">
        <v>360</v>
      </c>
      <c r="K40" s="1" t="s">
        <v>370</v>
      </c>
      <c r="L40" s="15">
        <v>45981</v>
      </c>
      <c r="M40" s="18">
        <v>37</v>
      </c>
      <c r="N40" s="14">
        <v>112</v>
      </c>
      <c r="O40" s="1">
        <v>112</v>
      </c>
      <c r="P40" s="1">
        <v>112</v>
      </c>
      <c r="Q40" s="1">
        <v>50</v>
      </c>
      <c r="R40" s="16">
        <f t="shared" si="8"/>
        <v>13</v>
      </c>
      <c r="S40" s="16">
        <v>6</v>
      </c>
    </row>
    <row r="41" spans="1:19" x14ac:dyDescent="0.25">
      <c r="A41" s="14">
        <v>18000703</v>
      </c>
      <c r="B41" s="14">
        <v>180</v>
      </c>
      <c r="C41" s="1" t="s">
        <v>366</v>
      </c>
      <c r="D41" s="14">
        <v>3</v>
      </c>
      <c r="E41" t="s">
        <v>74</v>
      </c>
      <c r="F41" s="14" t="s">
        <v>116</v>
      </c>
      <c r="G41" s="14" t="s">
        <v>253</v>
      </c>
      <c r="H41" s="14" t="s">
        <v>254</v>
      </c>
      <c r="I41" s="14" t="s">
        <v>363</v>
      </c>
      <c r="J41" s="1" t="s">
        <v>360</v>
      </c>
      <c r="K41" s="1" t="s">
        <v>370</v>
      </c>
      <c r="L41" s="15">
        <v>45981</v>
      </c>
      <c r="M41" s="18">
        <v>98</v>
      </c>
      <c r="N41" s="14">
        <v>4</v>
      </c>
      <c r="O41" s="1">
        <v>4</v>
      </c>
      <c r="P41" s="1">
        <v>4</v>
      </c>
      <c r="Q41" s="1">
        <v>1</v>
      </c>
      <c r="R41" s="16">
        <f t="shared" si="8"/>
        <v>1</v>
      </c>
      <c r="S41" s="16">
        <v>7</v>
      </c>
    </row>
    <row r="42" spans="1:19" x14ac:dyDescent="0.25">
      <c r="A42" s="14">
        <v>18000803</v>
      </c>
      <c r="B42" s="14">
        <v>180</v>
      </c>
      <c r="C42" s="1" t="s">
        <v>366</v>
      </c>
      <c r="D42" s="14">
        <v>3</v>
      </c>
      <c r="E42" t="s">
        <v>74</v>
      </c>
      <c r="F42" s="14" t="s">
        <v>117</v>
      </c>
      <c r="G42" s="14" t="s">
        <v>255</v>
      </c>
      <c r="H42" s="14" t="s">
        <v>256</v>
      </c>
      <c r="I42" s="14" t="s">
        <v>363</v>
      </c>
      <c r="J42" s="1" t="s">
        <v>360</v>
      </c>
      <c r="K42" s="1" t="s">
        <v>370</v>
      </c>
      <c r="L42" s="15">
        <v>45981</v>
      </c>
      <c r="M42" s="18">
        <v>77</v>
      </c>
      <c r="N42" s="14">
        <v>45</v>
      </c>
      <c r="O42" s="1">
        <v>45</v>
      </c>
      <c r="P42" s="1">
        <v>45</v>
      </c>
      <c r="Q42" s="1">
        <v>15</v>
      </c>
      <c r="R42" s="16">
        <f t="shared" si="8"/>
        <v>5</v>
      </c>
      <c r="S42" s="16">
        <v>8</v>
      </c>
    </row>
    <row r="43" spans="1:19" x14ac:dyDescent="0.25">
      <c r="A43" s="14">
        <v>18000903</v>
      </c>
      <c r="B43" s="14">
        <v>180</v>
      </c>
      <c r="C43" s="1" t="s">
        <v>366</v>
      </c>
      <c r="D43" s="14">
        <v>3</v>
      </c>
      <c r="E43" t="s">
        <v>74</v>
      </c>
      <c r="F43" s="14" t="s">
        <v>118</v>
      </c>
      <c r="G43" s="14" t="s">
        <v>257</v>
      </c>
      <c r="H43" s="14" t="s">
        <v>258</v>
      </c>
      <c r="I43" s="14" t="s">
        <v>363</v>
      </c>
      <c r="J43" s="1" t="s">
        <v>360</v>
      </c>
      <c r="K43" s="1" t="s">
        <v>370</v>
      </c>
      <c r="L43" s="15">
        <v>45981</v>
      </c>
      <c r="M43" s="18">
        <v>67</v>
      </c>
      <c r="N43" s="14">
        <v>62</v>
      </c>
      <c r="O43" s="1">
        <v>62</v>
      </c>
      <c r="P43" s="1">
        <v>62</v>
      </c>
      <c r="Q43" s="1">
        <v>26</v>
      </c>
      <c r="R43" s="16">
        <f t="shared" si="8"/>
        <v>8</v>
      </c>
      <c r="S43" s="16">
        <v>9</v>
      </c>
    </row>
    <row r="44" spans="1:19" x14ac:dyDescent="0.25">
      <c r="A44" s="14">
        <v>18001003</v>
      </c>
      <c r="B44" s="14">
        <v>180</v>
      </c>
      <c r="C44" s="1" t="s">
        <v>366</v>
      </c>
      <c r="D44" s="14">
        <v>3</v>
      </c>
      <c r="E44" t="s">
        <v>74</v>
      </c>
      <c r="F44" s="14" t="s">
        <v>119</v>
      </c>
      <c r="G44" s="14" t="s">
        <v>259</v>
      </c>
      <c r="H44" s="14" t="s">
        <v>260</v>
      </c>
      <c r="I44" s="14" t="s">
        <v>363</v>
      </c>
      <c r="J44" s="1" t="s">
        <v>360</v>
      </c>
      <c r="K44" s="1" t="s">
        <v>370</v>
      </c>
      <c r="L44" s="15">
        <v>45981</v>
      </c>
      <c r="M44" s="18">
        <v>25</v>
      </c>
      <c r="N44" s="14">
        <v>130</v>
      </c>
      <c r="O44" s="1">
        <v>130</v>
      </c>
      <c r="P44" s="1">
        <v>130</v>
      </c>
      <c r="Q44" s="1">
        <v>61</v>
      </c>
      <c r="R44" s="16">
        <f t="shared" si="8"/>
        <v>14</v>
      </c>
      <c r="S44" s="16">
        <v>10</v>
      </c>
    </row>
    <row r="45" spans="1:19" x14ac:dyDescent="0.25">
      <c r="A45" s="14">
        <v>18001103</v>
      </c>
      <c r="B45" s="14">
        <v>180</v>
      </c>
      <c r="C45" s="1" t="s">
        <v>366</v>
      </c>
      <c r="D45" s="14">
        <v>3</v>
      </c>
      <c r="E45" t="s">
        <v>74</v>
      </c>
      <c r="F45" s="14" t="s">
        <v>120</v>
      </c>
      <c r="G45" s="14" t="s">
        <v>261</v>
      </c>
      <c r="H45" s="14" t="s">
        <v>262</v>
      </c>
      <c r="I45" s="14" t="s">
        <v>363</v>
      </c>
      <c r="J45" s="1" t="s">
        <v>360</v>
      </c>
      <c r="K45" s="1" t="s">
        <v>370</v>
      </c>
      <c r="L45" s="15">
        <v>45981</v>
      </c>
      <c r="M45" s="18">
        <v>47</v>
      </c>
      <c r="N45" s="14">
        <v>98</v>
      </c>
      <c r="O45" s="1">
        <v>98</v>
      </c>
      <c r="P45" s="1">
        <v>98</v>
      </c>
      <c r="Q45" s="1">
        <v>44</v>
      </c>
      <c r="R45" s="16">
        <f t="shared" si="8"/>
        <v>11</v>
      </c>
      <c r="S45" s="16">
        <v>11</v>
      </c>
    </row>
    <row r="46" spans="1:19" x14ac:dyDescent="0.25">
      <c r="A46" s="14">
        <v>18001203</v>
      </c>
      <c r="B46" s="14">
        <v>180</v>
      </c>
      <c r="C46" s="1" t="s">
        <v>366</v>
      </c>
      <c r="D46" s="14">
        <v>3</v>
      </c>
      <c r="E46" t="s">
        <v>74</v>
      </c>
      <c r="F46" s="14" t="s">
        <v>121</v>
      </c>
      <c r="G46" s="14" t="s">
        <v>263</v>
      </c>
      <c r="H46" s="14" t="s">
        <v>264</v>
      </c>
      <c r="I46" s="14" t="s">
        <v>363</v>
      </c>
      <c r="J46" s="1" t="s">
        <v>360</v>
      </c>
      <c r="K46" s="1" t="s">
        <v>370</v>
      </c>
      <c r="L46" s="15">
        <v>45981</v>
      </c>
      <c r="M46" s="18">
        <v>62</v>
      </c>
      <c r="N46" s="14">
        <v>73</v>
      </c>
      <c r="O46" s="1">
        <v>73</v>
      </c>
      <c r="P46" s="1">
        <v>73</v>
      </c>
      <c r="Q46" s="1">
        <v>30</v>
      </c>
      <c r="R46" s="16">
        <f t="shared" si="8"/>
        <v>9</v>
      </c>
      <c r="S46" s="16">
        <v>12</v>
      </c>
    </row>
    <row r="47" spans="1:19" x14ac:dyDescent="0.25">
      <c r="A47" s="14">
        <v>18001303</v>
      </c>
      <c r="B47" s="14">
        <v>180</v>
      </c>
      <c r="C47" s="1" t="s">
        <v>366</v>
      </c>
      <c r="D47" s="14">
        <v>3</v>
      </c>
      <c r="E47" t="s">
        <v>74</v>
      </c>
      <c r="F47" s="14" t="s">
        <v>122</v>
      </c>
      <c r="G47" s="14" t="s">
        <v>265</v>
      </c>
      <c r="H47" s="14" t="s">
        <v>266</v>
      </c>
      <c r="I47" s="14" t="s">
        <v>363</v>
      </c>
      <c r="J47" s="1" t="s">
        <v>360</v>
      </c>
      <c r="K47" s="1" t="s">
        <v>370</v>
      </c>
      <c r="L47" s="15">
        <v>45981</v>
      </c>
      <c r="M47" s="18">
        <v>89</v>
      </c>
      <c r="N47" s="14">
        <v>20</v>
      </c>
      <c r="O47" s="1">
        <v>20</v>
      </c>
      <c r="P47" s="1">
        <v>20</v>
      </c>
      <c r="Q47" s="1">
        <v>7</v>
      </c>
      <c r="R47" s="16">
        <f t="shared" si="8"/>
        <v>4</v>
      </c>
      <c r="S47" s="16">
        <v>13</v>
      </c>
    </row>
    <row r="48" spans="1:19" x14ac:dyDescent="0.25">
      <c r="A48" s="14">
        <v>18001403</v>
      </c>
      <c r="B48" s="14">
        <v>180</v>
      </c>
      <c r="C48" s="1" t="s">
        <v>366</v>
      </c>
      <c r="D48" s="14">
        <v>3</v>
      </c>
      <c r="E48" t="s">
        <v>74</v>
      </c>
      <c r="F48" s="14" t="s">
        <v>123</v>
      </c>
      <c r="G48" s="14" t="s">
        <v>267</v>
      </c>
      <c r="H48" s="14" t="s">
        <v>213</v>
      </c>
      <c r="I48" s="14" t="s">
        <v>363</v>
      </c>
      <c r="J48" s="1" t="s">
        <v>360</v>
      </c>
      <c r="K48" s="1" t="s">
        <v>370</v>
      </c>
      <c r="L48" s="15">
        <v>45981</v>
      </c>
      <c r="M48" s="18">
        <v>53</v>
      </c>
      <c r="N48" s="14">
        <v>90</v>
      </c>
      <c r="O48" s="1">
        <v>90</v>
      </c>
      <c r="P48" s="1">
        <v>90</v>
      </c>
      <c r="Q48" s="1">
        <v>39</v>
      </c>
      <c r="R48" s="16">
        <f t="shared" si="8"/>
        <v>10</v>
      </c>
      <c r="S48" s="16">
        <v>14</v>
      </c>
    </row>
    <row r="49" spans="1:19" x14ac:dyDescent="0.25">
      <c r="A49" s="14">
        <v>18001503</v>
      </c>
      <c r="B49" s="14">
        <v>180</v>
      </c>
      <c r="C49" s="1" t="s">
        <v>366</v>
      </c>
      <c r="D49" s="14">
        <v>3</v>
      </c>
      <c r="E49" t="s">
        <v>74</v>
      </c>
      <c r="F49" s="14" t="s">
        <v>124</v>
      </c>
      <c r="G49" s="14" t="s">
        <v>268</v>
      </c>
      <c r="H49" s="14" t="s">
        <v>269</v>
      </c>
      <c r="I49" s="14" t="s">
        <v>363</v>
      </c>
      <c r="J49" s="1" t="s">
        <v>360</v>
      </c>
      <c r="K49" s="1" t="s">
        <v>370</v>
      </c>
      <c r="L49" s="15">
        <v>45981</v>
      </c>
      <c r="M49" s="18">
        <v>42</v>
      </c>
      <c r="N49" s="14">
        <v>106</v>
      </c>
      <c r="O49" s="1">
        <v>106</v>
      </c>
      <c r="P49" s="1">
        <v>106</v>
      </c>
      <c r="Q49" s="1">
        <v>47</v>
      </c>
      <c r="R49" s="16">
        <f t="shared" si="8"/>
        <v>12</v>
      </c>
      <c r="S49" s="16">
        <v>15</v>
      </c>
    </row>
    <row r="50" spans="1:19" x14ac:dyDescent="0.25">
      <c r="A50" s="14">
        <v>18000104</v>
      </c>
      <c r="B50" s="14">
        <v>180</v>
      </c>
      <c r="C50" s="1" t="s">
        <v>366</v>
      </c>
      <c r="D50" s="14">
        <v>4</v>
      </c>
      <c r="E50" t="s">
        <v>74</v>
      </c>
      <c r="F50" s="14" t="s">
        <v>125</v>
      </c>
      <c r="G50" s="14" t="s">
        <v>270</v>
      </c>
      <c r="H50" s="14" t="s">
        <v>271</v>
      </c>
      <c r="I50" s="14" t="s">
        <v>363</v>
      </c>
      <c r="J50" s="1" t="s">
        <v>360</v>
      </c>
      <c r="K50" s="1" t="s">
        <v>370</v>
      </c>
      <c r="L50" s="15">
        <v>45981</v>
      </c>
      <c r="M50" s="18">
        <v>51</v>
      </c>
      <c r="N50" s="14">
        <v>93</v>
      </c>
      <c r="O50" s="1">
        <v>93</v>
      </c>
      <c r="P50" s="1">
        <v>93</v>
      </c>
      <c r="Q50" s="1">
        <v>42</v>
      </c>
      <c r="R50" s="16">
        <f>RANK(M50,$M$50:$M$62,0)</f>
        <v>9</v>
      </c>
      <c r="S50" s="16">
        <v>1</v>
      </c>
    </row>
    <row r="51" spans="1:19" x14ac:dyDescent="0.25">
      <c r="A51" s="14">
        <v>18000204</v>
      </c>
      <c r="B51" s="14">
        <v>180</v>
      </c>
      <c r="C51" s="1" t="s">
        <v>366</v>
      </c>
      <c r="D51" s="14">
        <v>4</v>
      </c>
      <c r="E51" t="s">
        <v>74</v>
      </c>
      <c r="F51" s="14" t="s">
        <v>126</v>
      </c>
      <c r="G51" s="14" t="s">
        <v>272</v>
      </c>
      <c r="H51" s="14" t="s">
        <v>273</v>
      </c>
      <c r="I51" s="14" t="s">
        <v>363</v>
      </c>
      <c r="J51" s="1" t="s">
        <v>360</v>
      </c>
      <c r="K51" s="1" t="s">
        <v>370</v>
      </c>
      <c r="L51" s="15">
        <v>45981</v>
      </c>
      <c r="M51" s="18">
        <v>62</v>
      </c>
      <c r="N51" s="14">
        <v>73</v>
      </c>
      <c r="O51" s="1">
        <v>73</v>
      </c>
      <c r="P51" s="1">
        <v>73</v>
      </c>
      <c r="Q51" s="1">
        <v>30</v>
      </c>
      <c r="R51" s="16">
        <f t="shared" ref="R51:R62" si="9">RANK(M51,$M$50:$M$62,0)</f>
        <v>7</v>
      </c>
      <c r="S51" s="16">
        <v>2</v>
      </c>
    </row>
    <row r="52" spans="1:19" x14ac:dyDescent="0.25">
      <c r="A52" s="14">
        <v>18000304</v>
      </c>
      <c r="B52" s="14">
        <v>180</v>
      </c>
      <c r="C52" s="1" t="s">
        <v>366</v>
      </c>
      <c r="D52" s="14">
        <v>4</v>
      </c>
      <c r="E52" t="s">
        <v>74</v>
      </c>
      <c r="F52" s="14" t="s">
        <v>127</v>
      </c>
      <c r="G52" s="14" t="s">
        <v>274</v>
      </c>
      <c r="H52" s="14" t="s">
        <v>275</v>
      </c>
      <c r="I52" s="14" t="s">
        <v>363</v>
      </c>
      <c r="J52" s="1" t="s">
        <v>360</v>
      </c>
      <c r="K52" s="1" t="s">
        <v>370</v>
      </c>
      <c r="L52" s="15">
        <v>45981</v>
      </c>
      <c r="M52" s="18">
        <v>69</v>
      </c>
      <c r="N52" s="14">
        <v>57</v>
      </c>
      <c r="O52" s="1">
        <v>57</v>
      </c>
      <c r="P52" s="1">
        <v>57</v>
      </c>
      <c r="Q52" s="1">
        <v>23</v>
      </c>
      <c r="R52" s="16">
        <f t="shared" si="9"/>
        <v>5</v>
      </c>
      <c r="S52" s="16">
        <v>3</v>
      </c>
    </row>
    <row r="53" spans="1:19" x14ac:dyDescent="0.25">
      <c r="A53" s="14">
        <v>18000404</v>
      </c>
      <c r="B53" s="14">
        <v>180</v>
      </c>
      <c r="C53" s="1" t="s">
        <v>366</v>
      </c>
      <c r="D53" s="14">
        <v>4</v>
      </c>
      <c r="E53" t="s">
        <v>74</v>
      </c>
      <c r="F53" s="14" t="s">
        <v>128</v>
      </c>
      <c r="G53" s="14" t="s">
        <v>276</v>
      </c>
      <c r="H53" s="14" t="s">
        <v>277</v>
      </c>
      <c r="I53" s="14" t="s">
        <v>363</v>
      </c>
      <c r="J53" s="1" t="s">
        <v>360</v>
      </c>
      <c r="K53" s="1" t="s">
        <v>370</v>
      </c>
      <c r="L53" s="15">
        <v>45981</v>
      </c>
      <c r="M53" s="18">
        <v>74</v>
      </c>
      <c r="N53" s="14">
        <v>48</v>
      </c>
      <c r="O53" s="1">
        <v>48</v>
      </c>
      <c r="P53" s="1">
        <v>48</v>
      </c>
      <c r="Q53" s="1">
        <v>18</v>
      </c>
      <c r="R53" s="16">
        <f t="shared" si="9"/>
        <v>3</v>
      </c>
      <c r="S53" s="16">
        <v>4</v>
      </c>
    </row>
    <row r="54" spans="1:19" x14ac:dyDescent="0.25">
      <c r="A54" s="14">
        <v>18000504</v>
      </c>
      <c r="B54" s="14">
        <v>180</v>
      </c>
      <c r="C54" s="1" t="s">
        <v>366</v>
      </c>
      <c r="D54" s="14">
        <v>4</v>
      </c>
      <c r="E54" t="s">
        <v>74</v>
      </c>
      <c r="F54" s="14" t="s">
        <v>129</v>
      </c>
      <c r="G54" s="14" t="s">
        <v>278</v>
      </c>
      <c r="H54" s="14" t="s">
        <v>279</v>
      </c>
      <c r="I54" s="14" t="s">
        <v>363</v>
      </c>
      <c r="J54" s="1" t="s">
        <v>360</v>
      </c>
      <c r="K54" s="1" t="s">
        <v>370</v>
      </c>
      <c r="L54" s="15">
        <v>45981</v>
      </c>
      <c r="M54" s="18">
        <v>79</v>
      </c>
      <c r="N54" s="14">
        <v>38</v>
      </c>
      <c r="O54" s="1">
        <v>38</v>
      </c>
      <c r="P54" s="1">
        <v>38</v>
      </c>
      <c r="Q54" s="1">
        <v>12</v>
      </c>
      <c r="R54" s="16">
        <f t="shared" si="9"/>
        <v>2</v>
      </c>
      <c r="S54" s="16">
        <v>5</v>
      </c>
    </row>
    <row r="55" spans="1:19" x14ac:dyDescent="0.25">
      <c r="A55" s="14">
        <v>18000604</v>
      </c>
      <c r="B55" s="14">
        <v>180</v>
      </c>
      <c r="C55" s="1" t="s">
        <v>366</v>
      </c>
      <c r="D55" s="14">
        <v>4</v>
      </c>
      <c r="E55" t="s">
        <v>74</v>
      </c>
      <c r="F55" s="14" t="s">
        <v>130</v>
      </c>
      <c r="G55" s="14" t="s">
        <v>280</v>
      </c>
      <c r="H55" s="14" t="s">
        <v>281</v>
      </c>
      <c r="I55" s="14" t="s">
        <v>363</v>
      </c>
      <c r="J55" s="1" t="s">
        <v>360</v>
      </c>
      <c r="K55" s="1" t="s">
        <v>370</v>
      </c>
      <c r="L55" s="15">
        <v>45981</v>
      </c>
      <c r="M55" s="18">
        <v>21</v>
      </c>
      <c r="N55" s="14">
        <v>138</v>
      </c>
      <c r="O55" s="1">
        <v>138</v>
      </c>
      <c r="P55" s="1">
        <v>138</v>
      </c>
      <c r="Q55" s="1">
        <v>65</v>
      </c>
      <c r="R55" s="16">
        <f t="shared" si="9"/>
        <v>13</v>
      </c>
      <c r="S55" s="16">
        <v>6</v>
      </c>
    </row>
    <row r="56" spans="1:19" x14ac:dyDescent="0.25">
      <c r="A56" s="14">
        <v>18000704</v>
      </c>
      <c r="B56" s="14">
        <v>180</v>
      </c>
      <c r="C56" s="1" t="s">
        <v>366</v>
      </c>
      <c r="D56" s="14">
        <v>4</v>
      </c>
      <c r="E56" t="s">
        <v>74</v>
      </c>
      <c r="F56" s="14" t="s">
        <v>131</v>
      </c>
      <c r="G56" s="14" t="s">
        <v>282</v>
      </c>
      <c r="H56" s="14" t="s">
        <v>283</v>
      </c>
      <c r="I56" s="14" t="s">
        <v>363</v>
      </c>
      <c r="J56" s="1" t="s">
        <v>360</v>
      </c>
      <c r="K56" s="1" t="s">
        <v>370</v>
      </c>
      <c r="L56" s="15">
        <v>45981</v>
      </c>
      <c r="M56" s="18">
        <v>82</v>
      </c>
      <c r="N56" s="14">
        <v>32</v>
      </c>
      <c r="O56" s="1">
        <v>32</v>
      </c>
      <c r="P56" s="1">
        <v>32</v>
      </c>
      <c r="Q56" s="1">
        <v>11</v>
      </c>
      <c r="R56" s="16">
        <f t="shared" si="9"/>
        <v>1</v>
      </c>
      <c r="S56" s="16">
        <v>7</v>
      </c>
    </row>
    <row r="57" spans="1:19" x14ac:dyDescent="0.25">
      <c r="A57" s="14">
        <v>18000804</v>
      </c>
      <c r="B57" s="14">
        <v>180</v>
      </c>
      <c r="C57" s="1" t="s">
        <v>366</v>
      </c>
      <c r="D57" s="14">
        <v>4</v>
      </c>
      <c r="E57" t="s">
        <v>74</v>
      </c>
      <c r="F57" s="14" t="s">
        <v>132</v>
      </c>
      <c r="G57" s="14" t="s">
        <v>263</v>
      </c>
      <c r="H57" s="14" t="s">
        <v>284</v>
      </c>
      <c r="I57" s="14" t="s">
        <v>363</v>
      </c>
      <c r="J57" s="1" t="s">
        <v>360</v>
      </c>
      <c r="K57" s="1" t="s">
        <v>370</v>
      </c>
      <c r="L57" s="15">
        <v>45981</v>
      </c>
      <c r="M57" s="18">
        <v>62</v>
      </c>
      <c r="N57" s="14">
        <v>73</v>
      </c>
      <c r="O57" s="1">
        <v>73</v>
      </c>
      <c r="P57" s="1">
        <v>73</v>
      </c>
      <c r="Q57" s="1">
        <v>30</v>
      </c>
      <c r="R57" s="16">
        <f t="shared" si="9"/>
        <v>7</v>
      </c>
      <c r="S57" s="16">
        <v>8</v>
      </c>
    </row>
    <row r="58" spans="1:19" x14ac:dyDescent="0.25">
      <c r="A58" s="14">
        <v>18000904</v>
      </c>
      <c r="B58" s="14">
        <v>180</v>
      </c>
      <c r="C58" s="1" t="s">
        <v>366</v>
      </c>
      <c r="D58" s="14">
        <v>4</v>
      </c>
      <c r="E58" t="s">
        <v>74</v>
      </c>
      <c r="F58" s="14" t="s">
        <v>133</v>
      </c>
      <c r="G58" s="14" t="s">
        <v>285</v>
      </c>
      <c r="H58" s="14" t="s">
        <v>286</v>
      </c>
      <c r="I58" s="14" t="s">
        <v>363</v>
      </c>
      <c r="J58" s="1" t="s">
        <v>360</v>
      </c>
      <c r="K58" s="1" t="s">
        <v>370</v>
      </c>
      <c r="L58" s="15">
        <v>45981</v>
      </c>
      <c r="M58" s="18">
        <v>31</v>
      </c>
      <c r="N58" s="14">
        <v>123</v>
      </c>
      <c r="O58" s="1">
        <v>123</v>
      </c>
      <c r="P58" s="1">
        <v>123</v>
      </c>
      <c r="Q58" s="1">
        <v>57</v>
      </c>
      <c r="R58" s="16">
        <f t="shared" si="9"/>
        <v>12</v>
      </c>
      <c r="S58" s="16">
        <v>9</v>
      </c>
    </row>
    <row r="59" spans="1:19" x14ac:dyDescent="0.25">
      <c r="A59" s="14">
        <v>18001004</v>
      </c>
      <c r="B59" s="14">
        <v>180</v>
      </c>
      <c r="C59" s="1" t="s">
        <v>366</v>
      </c>
      <c r="D59" s="14">
        <v>4</v>
      </c>
      <c r="E59" t="s">
        <v>76</v>
      </c>
      <c r="F59" s="14" t="s">
        <v>134</v>
      </c>
      <c r="G59" s="14" t="s">
        <v>287</v>
      </c>
      <c r="H59" s="14" t="s">
        <v>288</v>
      </c>
      <c r="I59" s="14" t="s">
        <v>363</v>
      </c>
      <c r="J59" s="1" t="s">
        <v>360</v>
      </c>
      <c r="K59" s="1" t="s">
        <v>370</v>
      </c>
      <c r="L59" s="15">
        <v>45981</v>
      </c>
      <c r="M59" s="18">
        <v>32</v>
      </c>
      <c r="N59" s="14">
        <v>122</v>
      </c>
      <c r="O59" s="1">
        <v>122</v>
      </c>
      <c r="P59" s="1">
        <v>122</v>
      </c>
      <c r="Q59" s="1">
        <v>56</v>
      </c>
      <c r="R59" s="16">
        <f t="shared" si="9"/>
        <v>11</v>
      </c>
      <c r="S59" s="16">
        <v>1</v>
      </c>
    </row>
    <row r="60" spans="1:19" x14ac:dyDescent="0.25">
      <c r="A60" s="14">
        <v>18001104</v>
      </c>
      <c r="B60" s="14">
        <v>180</v>
      </c>
      <c r="C60" s="1" t="s">
        <v>366</v>
      </c>
      <c r="D60" s="14">
        <v>4</v>
      </c>
      <c r="E60" t="s">
        <v>76</v>
      </c>
      <c r="F60" s="14" t="s">
        <v>135</v>
      </c>
      <c r="G60" s="14" t="s">
        <v>289</v>
      </c>
      <c r="H60" s="14" t="s">
        <v>290</v>
      </c>
      <c r="I60" s="14" t="s">
        <v>363</v>
      </c>
      <c r="J60" s="1" t="s">
        <v>360</v>
      </c>
      <c r="K60" s="1" t="s">
        <v>370</v>
      </c>
      <c r="L60" s="15">
        <v>45981</v>
      </c>
      <c r="M60" s="18">
        <v>63</v>
      </c>
      <c r="N60" s="14">
        <v>69</v>
      </c>
      <c r="O60" s="1">
        <v>69</v>
      </c>
      <c r="P60" s="1">
        <v>69</v>
      </c>
      <c r="Q60" s="1">
        <v>29</v>
      </c>
      <c r="R60" s="16">
        <f t="shared" si="9"/>
        <v>6</v>
      </c>
      <c r="S60" s="16">
        <v>2</v>
      </c>
    </row>
    <row r="61" spans="1:19" x14ac:dyDescent="0.25">
      <c r="A61" s="14">
        <v>18001204</v>
      </c>
      <c r="B61" s="14">
        <v>180</v>
      </c>
      <c r="C61" s="1" t="s">
        <v>366</v>
      </c>
      <c r="D61" s="14">
        <v>4</v>
      </c>
      <c r="E61" t="s">
        <v>76</v>
      </c>
      <c r="F61" s="14" t="s">
        <v>136</v>
      </c>
      <c r="G61" s="14" t="s">
        <v>291</v>
      </c>
      <c r="H61" s="14" t="s">
        <v>292</v>
      </c>
      <c r="I61" s="14" t="s">
        <v>363</v>
      </c>
      <c r="J61" s="1" t="s">
        <v>360</v>
      </c>
      <c r="K61" s="1" t="s">
        <v>370</v>
      </c>
      <c r="L61" s="15">
        <v>45981</v>
      </c>
      <c r="M61" s="18">
        <v>71</v>
      </c>
      <c r="N61" s="14">
        <v>53</v>
      </c>
      <c r="O61" s="1">
        <v>53</v>
      </c>
      <c r="P61" s="1">
        <v>53</v>
      </c>
      <c r="Q61" s="1">
        <v>21</v>
      </c>
      <c r="R61" s="16">
        <f t="shared" si="9"/>
        <v>4</v>
      </c>
      <c r="S61" s="16">
        <v>3</v>
      </c>
    </row>
    <row r="62" spans="1:19" x14ac:dyDescent="0.25">
      <c r="A62" s="14">
        <v>18001304</v>
      </c>
      <c r="B62" s="14">
        <v>180</v>
      </c>
      <c r="C62" s="1" t="s">
        <v>366</v>
      </c>
      <c r="D62" s="14">
        <v>4</v>
      </c>
      <c r="E62" t="s">
        <v>76</v>
      </c>
      <c r="F62" s="14" t="s">
        <v>137</v>
      </c>
      <c r="G62" s="14" t="s">
        <v>293</v>
      </c>
      <c r="H62" s="14" t="s">
        <v>294</v>
      </c>
      <c r="I62" s="14" t="s">
        <v>363</v>
      </c>
      <c r="J62" s="1" t="s">
        <v>360</v>
      </c>
      <c r="K62" s="1" t="s">
        <v>370</v>
      </c>
      <c r="L62" s="15">
        <v>45981</v>
      </c>
      <c r="M62" s="18">
        <v>37</v>
      </c>
      <c r="N62" s="14">
        <v>112</v>
      </c>
      <c r="O62" s="1">
        <v>112</v>
      </c>
      <c r="P62" s="1">
        <v>112</v>
      </c>
      <c r="Q62" s="1">
        <v>50</v>
      </c>
      <c r="R62" s="16">
        <f t="shared" si="9"/>
        <v>10</v>
      </c>
      <c r="S62" s="16">
        <v>4</v>
      </c>
    </row>
    <row r="63" spans="1:19" x14ac:dyDescent="0.25">
      <c r="A63" s="14">
        <v>18001201</v>
      </c>
      <c r="B63" s="14">
        <v>180</v>
      </c>
      <c r="C63" t="s">
        <v>366</v>
      </c>
      <c r="D63" s="14">
        <v>1</v>
      </c>
      <c r="E63" t="s">
        <v>76</v>
      </c>
      <c r="F63" s="14" t="s">
        <v>88</v>
      </c>
      <c r="G63" s="14" t="s">
        <v>198</v>
      </c>
      <c r="H63" s="14" t="s">
        <v>199</v>
      </c>
      <c r="I63" s="14" t="s">
        <v>363</v>
      </c>
      <c r="J63" t="s">
        <v>360</v>
      </c>
      <c r="K63" s="1" t="s">
        <v>370</v>
      </c>
      <c r="L63" s="15">
        <v>45981</v>
      </c>
      <c r="M63" s="18">
        <v>24</v>
      </c>
      <c r="N63" s="14">
        <v>133</v>
      </c>
      <c r="O63" s="1">
        <v>133</v>
      </c>
      <c r="P63" s="1">
        <v>133</v>
      </c>
      <c r="Q63" s="1">
        <v>63</v>
      </c>
      <c r="R63" s="1">
        <f t="shared" ref="R63:R68" si="10">RANK(M63,$M$2:$M$68,0)</f>
        <v>63</v>
      </c>
      <c r="S63" s="1">
        <v>2</v>
      </c>
    </row>
    <row r="64" spans="1:19" x14ac:dyDescent="0.25">
      <c r="A64" s="14">
        <v>18001301</v>
      </c>
      <c r="B64" s="14">
        <v>180</v>
      </c>
      <c r="C64" s="1" t="s">
        <v>366</v>
      </c>
      <c r="D64" s="14">
        <v>1</v>
      </c>
      <c r="E64" t="s">
        <v>76</v>
      </c>
      <c r="F64" s="14" t="s">
        <v>89</v>
      </c>
      <c r="G64" s="14" t="s">
        <v>200</v>
      </c>
      <c r="H64" s="14" t="s">
        <v>201</v>
      </c>
      <c r="I64" s="14" t="s">
        <v>363</v>
      </c>
      <c r="J64" s="1" t="s">
        <v>360</v>
      </c>
      <c r="K64" s="1" t="s">
        <v>370</v>
      </c>
      <c r="L64" s="15">
        <v>45981</v>
      </c>
      <c r="M64" s="18">
        <v>60</v>
      </c>
      <c r="N64" s="14">
        <v>77</v>
      </c>
      <c r="O64" s="1">
        <v>77</v>
      </c>
      <c r="P64" s="1">
        <v>77</v>
      </c>
      <c r="Q64" s="1">
        <v>33</v>
      </c>
      <c r="R64" s="1">
        <f t="shared" si="10"/>
        <v>33</v>
      </c>
      <c r="S64" s="1">
        <v>3</v>
      </c>
    </row>
    <row r="65" spans="1:19" x14ac:dyDescent="0.25">
      <c r="A65" s="14">
        <v>18001401</v>
      </c>
      <c r="B65" s="14">
        <v>180</v>
      </c>
      <c r="C65" s="1" t="s">
        <v>366</v>
      </c>
      <c r="D65" s="14">
        <v>1</v>
      </c>
      <c r="E65" t="s">
        <v>76</v>
      </c>
      <c r="F65" s="14" t="s">
        <v>90</v>
      </c>
      <c r="G65" s="14" t="s">
        <v>202</v>
      </c>
      <c r="H65" s="14" t="s">
        <v>203</v>
      </c>
      <c r="I65" s="14" t="s">
        <v>363</v>
      </c>
      <c r="J65" s="1" t="s">
        <v>360</v>
      </c>
      <c r="K65" s="1" t="s">
        <v>370</v>
      </c>
      <c r="L65" s="15">
        <v>45981</v>
      </c>
      <c r="M65" s="18">
        <v>73</v>
      </c>
      <c r="N65" s="14">
        <v>50</v>
      </c>
      <c r="O65" s="1">
        <v>50</v>
      </c>
      <c r="P65" s="1">
        <v>50</v>
      </c>
      <c r="Q65" s="1">
        <v>20</v>
      </c>
      <c r="R65" s="1">
        <f t="shared" si="10"/>
        <v>20</v>
      </c>
      <c r="S65" s="16">
        <v>4</v>
      </c>
    </row>
    <row r="66" spans="1:19" x14ac:dyDescent="0.25">
      <c r="A66" s="14">
        <v>18001501</v>
      </c>
      <c r="B66" s="14">
        <v>180</v>
      </c>
      <c r="C66" s="1" t="s">
        <v>366</v>
      </c>
      <c r="D66" s="14">
        <v>1</v>
      </c>
      <c r="E66" t="s">
        <v>76</v>
      </c>
      <c r="F66" s="14" t="s">
        <v>91</v>
      </c>
      <c r="G66" s="14" t="s">
        <v>204</v>
      </c>
      <c r="H66" s="14" t="s">
        <v>205</v>
      </c>
      <c r="I66" s="14" t="s">
        <v>363</v>
      </c>
      <c r="J66" s="1" t="s">
        <v>360</v>
      </c>
      <c r="K66" s="1" t="s">
        <v>370</v>
      </c>
      <c r="L66" s="15">
        <v>45981</v>
      </c>
      <c r="M66" s="18">
        <v>65</v>
      </c>
      <c r="N66" s="14">
        <v>65</v>
      </c>
      <c r="O66" s="1">
        <v>65</v>
      </c>
      <c r="P66" s="1">
        <v>65</v>
      </c>
      <c r="Q66" s="1">
        <v>28</v>
      </c>
      <c r="R66" s="1">
        <f t="shared" si="10"/>
        <v>28</v>
      </c>
      <c r="S66" s="16">
        <v>5</v>
      </c>
    </row>
    <row r="67" spans="1:19" x14ac:dyDescent="0.25">
      <c r="A67" s="14">
        <v>18001601</v>
      </c>
      <c r="B67" s="14">
        <v>180</v>
      </c>
      <c r="C67" s="1" t="s">
        <v>366</v>
      </c>
      <c r="D67" s="14">
        <v>1</v>
      </c>
      <c r="E67" t="s">
        <v>76</v>
      </c>
      <c r="F67" s="14" t="s">
        <v>92</v>
      </c>
      <c r="G67" s="14" t="s">
        <v>206</v>
      </c>
      <c r="H67" s="14" t="s">
        <v>207</v>
      </c>
      <c r="I67" s="14" t="s">
        <v>363</v>
      </c>
      <c r="J67" s="1" t="s">
        <v>360</v>
      </c>
      <c r="K67" s="1" t="s">
        <v>370</v>
      </c>
      <c r="L67" s="15">
        <v>45981</v>
      </c>
      <c r="M67" s="18">
        <v>45</v>
      </c>
      <c r="N67" s="14">
        <v>100</v>
      </c>
      <c r="O67" s="1">
        <v>100</v>
      </c>
      <c r="P67" s="1">
        <v>100</v>
      </c>
      <c r="Q67" s="1">
        <v>45</v>
      </c>
      <c r="R67" s="1">
        <f t="shared" si="10"/>
        <v>45</v>
      </c>
      <c r="S67" s="16">
        <v>6</v>
      </c>
    </row>
    <row r="68" spans="1:19" x14ac:dyDescent="0.25">
      <c r="A68" s="14">
        <v>18001701</v>
      </c>
      <c r="B68" s="14">
        <v>180</v>
      </c>
      <c r="C68" s="1" t="s">
        <v>366</v>
      </c>
      <c r="D68" s="14">
        <v>1</v>
      </c>
      <c r="E68" t="s">
        <v>76</v>
      </c>
      <c r="F68" s="14" t="s">
        <v>93</v>
      </c>
      <c r="G68" s="14" t="s">
        <v>208</v>
      </c>
      <c r="H68" s="14" t="s">
        <v>209</v>
      </c>
      <c r="I68" s="14" t="s">
        <v>363</v>
      </c>
      <c r="J68" s="1" t="s">
        <v>360</v>
      </c>
      <c r="K68" s="1" t="s">
        <v>370</v>
      </c>
      <c r="L68" s="15">
        <v>45981</v>
      </c>
      <c r="M68" s="18">
        <v>35</v>
      </c>
      <c r="N68" s="14">
        <v>117</v>
      </c>
      <c r="O68" s="1">
        <v>117</v>
      </c>
      <c r="P68" s="1">
        <v>117</v>
      </c>
      <c r="Q68" s="1">
        <v>54</v>
      </c>
      <c r="R68" s="1">
        <f t="shared" si="10"/>
        <v>54</v>
      </c>
      <c r="S68" s="16">
        <v>7</v>
      </c>
    </row>
    <row r="69" spans="1:19" x14ac:dyDescent="0.25">
      <c r="A69" s="14">
        <v>18100101</v>
      </c>
      <c r="B69" s="14">
        <v>181</v>
      </c>
      <c r="C69" s="1" t="s">
        <v>367</v>
      </c>
      <c r="D69" s="14">
        <v>1</v>
      </c>
      <c r="E69" t="s">
        <v>76</v>
      </c>
      <c r="F69" s="14" t="s">
        <v>138</v>
      </c>
      <c r="G69" s="14" t="s">
        <v>232</v>
      </c>
      <c r="H69" s="14" t="s">
        <v>233</v>
      </c>
      <c r="I69" s="14" t="s">
        <v>364</v>
      </c>
      <c r="J69" s="1" t="s">
        <v>361</v>
      </c>
      <c r="K69" s="1" t="s">
        <v>370</v>
      </c>
      <c r="L69" s="15">
        <v>45981</v>
      </c>
      <c r="M69" s="18">
        <v>78</v>
      </c>
      <c r="N69" s="14">
        <v>40</v>
      </c>
      <c r="O69" s="1">
        <v>9</v>
      </c>
      <c r="P69">
        <v>9</v>
      </c>
      <c r="Q69" s="1">
        <v>9</v>
      </c>
      <c r="R69">
        <v>1</v>
      </c>
      <c r="S69" s="1">
        <v>1</v>
      </c>
    </row>
    <row r="70" spans="1:19" x14ac:dyDescent="0.25">
      <c r="A70" s="14">
        <v>18100201</v>
      </c>
      <c r="B70" s="14">
        <v>181</v>
      </c>
      <c r="C70" s="1" t="s">
        <v>367</v>
      </c>
      <c r="D70" s="14">
        <v>1</v>
      </c>
      <c r="E70" t="s">
        <v>76</v>
      </c>
      <c r="F70" s="14" t="s">
        <v>139</v>
      </c>
      <c r="G70" s="14" t="s">
        <v>295</v>
      </c>
      <c r="H70" s="14" t="s">
        <v>296</v>
      </c>
      <c r="I70" s="14" t="s">
        <v>364</v>
      </c>
      <c r="J70" s="1" t="s">
        <v>361</v>
      </c>
      <c r="K70" s="1" t="s">
        <v>370</v>
      </c>
      <c r="L70" s="15">
        <v>45981</v>
      </c>
      <c r="M70" s="18">
        <v>80</v>
      </c>
      <c r="N70" s="14">
        <v>35</v>
      </c>
      <c r="O70" s="1">
        <v>7</v>
      </c>
      <c r="P70" s="1">
        <v>7</v>
      </c>
      <c r="Q70" s="1">
        <v>7</v>
      </c>
      <c r="R70">
        <v>2</v>
      </c>
      <c r="S70" s="1">
        <v>2</v>
      </c>
    </row>
    <row r="71" spans="1:19" x14ac:dyDescent="0.25">
      <c r="A71" s="14">
        <v>18100301</v>
      </c>
      <c r="B71" s="14">
        <v>181</v>
      </c>
      <c r="C71" s="1" t="s">
        <v>367</v>
      </c>
      <c r="D71" s="14">
        <v>1</v>
      </c>
      <c r="E71" t="s">
        <v>76</v>
      </c>
      <c r="F71" s="14" t="s">
        <v>140</v>
      </c>
      <c r="G71" s="14" t="s">
        <v>297</v>
      </c>
      <c r="H71" s="14" t="s">
        <v>298</v>
      </c>
      <c r="I71" s="14" t="s">
        <v>364</v>
      </c>
      <c r="J71" s="1" t="s">
        <v>361</v>
      </c>
      <c r="K71" s="1" t="s">
        <v>370</v>
      </c>
      <c r="L71" s="15">
        <v>45981</v>
      </c>
      <c r="M71" s="18">
        <v>80</v>
      </c>
      <c r="N71" s="14">
        <v>35</v>
      </c>
      <c r="O71" s="1">
        <v>7</v>
      </c>
      <c r="P71" s="1">
        <v>7</v>
      </c>
      <c r="Q71" s="1">
        <v>7</v>
      </c>
      <c r="R71">
        <v>3</v>
      </c>
      <c r="S71" s="1">
        <v>3</v>
      </c>
    </row>
    <row r="72" spans="1:19" x14ac:dyDescent="0.25">
      <c r="A72" s="14">
        <v>18100401</v>
      </c>
      <c r="B72" s="14">
        <v>181</v>
      </c>
      <c r="C72" s="1" t="s">
        <v>367</v>
      </c>
      <c r="D72" s="14">
        <v>1</v>
      </c>
      <c r="E72" t="s">
        <v>74</v>
      </c>
      <c r="F72" s="14" t="s">
        <v>141</v>
      </c>
      <c r="G72" s="14" t="s">
        <v>299</v>
      </c>
      <c r="H72" s="14" t="s">
        <v>300</v>
      </c>
      <c r="I72" s="14" t="s">
        <v>364</v>
      </c>
      <c r="J72" s="1" t="s">
        <v>361</v>
      </c>
      <c r="K72" s="1" t="s">
        <v>370</v>
      </c>
      <c r="L72" s="15">
        <v>45981</v>
      </c>
      <c r="M72" s="18">
        <v>85</v>
      </c>
      <c r="N72" s="14">
        <v>26</v>
      </c>
      <c r="O72" s="1">
        <v>6</v>
      </c>
      <c r="P72" s="1">
        <v>6</v>
      </c>
      <c r="Q72" s="1">
        <v>6</v>
      </c>
      <c r="R72">
        <v>4</v>
      </c>
      <c r="S72" s="1">
        <v>1</v>
      </c>
    </row>
    <row r="73" spans="1:19" x14ac:dyDescent="0.25">
      <c r="A73" s="14">
        <v>18100102</v>
      </c>
      <c r="B73" s="14">
        <v>181</v>
      </c>
      <c r="C73" s="1" t="s">
        <v>367</v>
      </c>
      <c r="D73" s="14">
        <v>2</v>
      </c>
      <c r="E73" t="s">
        <v>74</v>
      </c>
      <c r="F73" s="14" t="s">
        <v>137</v>
      </c>
      <c r="G73" s="14" t="s">
        <v>200</v>
      </c>
      <c r="H73" s="14" t="s">
        <v>201</v>
      </c>
      <c r="I73" s="14" t="s">
        <v>364</v>
      </c>
      <c r="J73" s="1" t="s">
        <v>361</v>
      </c>
      <c r="K73" s="1" t="s">
        <v>370</v>
      </c>
      <c r="L73" s="15">
        <v>45981</v>
      </c>
      <c r="M73" s="18">
        <v>94</v>
      </c>
      <c r="N73" s="14">
        <v>15</v>
      </c>
      <c r="O73" s="1">
        <v>3</v>
      </c>
      <c r="P73" s="1">
        <v>3</v>
      </c>
      <c r="Q73" s="1">
        <v>3</v>
      </c>
      <c r="R73" s="16">
        <v>1</v>
      </c>
      <c r="S73" s="16">
        <v>1</v>
      </c>
    </row>
    <row r="74" spans="1:19" x14ac:dyDescent="0.25">
      <c r="A74" s="14">
        <v>18100202</v>
      </c>
      <c r="B74" s="14">
        <v>181</v>
      </c>
      <c r="C74" s="1" t="s">
        <v>367</v>
      </c>
      <c r="D74" s="14">
        <v>2</v>
      </c>
      <c r="E74" t="s">
        <v>74</v>
      </c>
      <c r="F74" s="14" t="s">
        <v>148</v>
      </c>
      <c r="G74" s="14" t="s">
        <v>224</v>
      </c>
      <c r="H74" s="14" t="s">
        <v>225</v>
      </c>
      <c r="I74" s="14" t="s">
        <v>364</v>
      </c>
      <c r="J74" s="1" t="s">
        <v>361</v>
      </c>
      <c r="K74" s="1" t="s">
        <v>370</v>
      </c>
      <c r="L74" s="15">
        <v>45981</v>
      </c>
      <c r="M74" s="18">
        <v>45</v>
      </c>
      <c r="N74" s="14">
        <v>100</v>
      </c>
      <c r="O74" s="1">
        <v>15</v>
      </c>
      <c r="P74" s="1">
        <v>15</v>
      </c>
      <c r="Q74" s="1">
        <v>15</v>
      </c>
      <c r="R74" s="16">
        <v>2</v>
      </c>
      <c r="S74" s="16">
        <v>2</v>
      </c>
    </row>
    <row r="75" spans="1:19" x14ac:dyDescent="0.25">
      <c r="A75" s="14">
        <v>18100302</v>
      </c>
      <c r="B75" s="14">
        <v>181</v>
      </c>
      <c r="C75" s="1" t="s">
        <v>367</v>
      </c>
      <c r="D75" s="14">
        <v>2</v>
      </c>
      <c r="E75" t="s">
        <v>76</v>
      </c>
      <c r="F75" s="14" t="s">
        <v>149</v>
      </c>
      <c r="G75" s="14" t="s">
        <v>310</v>
      </c>
      <c r="H75" s="14" t="s">
        <v>311</v>
      </c>
      <c r="I75" s="14" t="s">
        <v>364</v>
      </c>
      <c r="J75" s="1" t="s">
        <v>361</v>
      </c>
      <c r="K75" s="1" t="s">
        <v>370</v>
      </c>
      <c r="L75" s="15">
        <v>45981</v>
      </c>
      <c r="M75" s="18">
        <v>95</v>
      </c>
      <c r="N75" s="14">
        <v>11</v>
      </c>
      <c r="O75" s="1">
        <v>2</v>
      </c>
      <c r="P75" s="1">
        <v>2</v>
      </c>
      <c r="Q75" s="1">
        <v>2</v>
      </c>
      <c r="R75" s="16">
        <v>3</v>
      </c>
      <c r="S75" s="16">
        <v>1</v>
      </c>
    </row>
    <row r="76" spans="1:19" x14ac:dyDescent="0.25">
      <c r="A76" s="14">
        <v>18100402</v>
      </c>
      <c r="B76" s="14">
        <v>181</v>
      </c>
      <c r="C76" s="1" t="s">
        <v>367</v>
      </c>
      <c r="D76" s="14">
        <v>2</v>
      </c>
      <c r="E76" t="s">
        <v>76</v>
      </c>
      <c r="F76" s="14" t="s">
        <v>150</v>
      </c>
      <c r="G76" s="14" t="s">
        <v>312</v>
      </c>
      <c r="H76" s="14" t="s">
        <v>313</v>
      </c>
      <c r="I76" s="14" t="s">
        <v>364</v>
      </c>
      <c r="J76" s="1" t="s">
        <v>361</v>
      </c>
      <c r="K76" s="1" t="s">
        <v>370</v>
      </c>
      <c r="L76" s="15">
        <v>45981</v>
      </c>
      <c r="M76" s="18">
        <v>50</v>
      </c>
      <c r="N76" s="14">
        <v>95</v>
      </c>
      <c r="O76" s="1">
        <v>14</v>
      </c>
      <c r="P76" s="1">
        <v>14</v>
      </c>
      <c r="Q76" s="1">
        <v>14</v>
      </c>
      <c r="R76" s="16">
        <v>4</v>
      </c>
      <c r="S76" s="16">
        <v>2</v>
      </c>
    </row>
    <row r="77" spans="1:19" x14ac:dyDescent="0.25">
      <c r="A77" s="14">
        <v>18100502</v>
      </c>
      <c r="B77" s="14">
        <v>181</v>
      </c>
      <c r="C77" s="1" t="s">
        <v>367</v>
      </c>
      <c r="D77" s="14">
        <v>2</v>
      </c>
      <c r="E77" t="s">
        <v>76</v>
      </c>
      <c r="F77" s="14" t="s">
        <v>151</v>
      </c>
      <c r="G77" s="14" t="s">
        <v>314</v>
      </c>
      <c r="H77" s="14" t="s">
        <v>315</v>
      </c>
      <c r="I77" s="14" t="s">
        <v>364</v>
      </c>
      <c r="J77" s="1" t="s">
        <v>361</v>
      </c>
      <c r="K77" s="1" t="s">
        <v>370</v>
      </c>
      <c r="L77" s="15">
        <v>45981</v>
      </c>
      <c r="M77" s="18">
        <v>55</v>
      </c>
      <c r="N77" s="14">
        <v>84</v>
      </c>
      <c r="O77" s="1">
        <v>12</v>
      </c>
      <c r="P77" s="1">
        <v>12</v>
      </c>
      <c r="Q77" s="1">
        <v>12</v>
      </c>
      <c r="R77" s="16">
        <v>5</v>
      </c>
      <c r="S77" s="16">
        <v>3</v>
      </c>
    </row>
    <row r="78" spans="1:19" x14ac:dyDescent="0.25">
      <c r="A78" s="14">
        <v>18100602</v>
      </c>
      <c r="B78" s="14">
        <v>181</v>
      </c>
      <c r="C78" s="1" t="s">
        <v>367</v>
      </c>
      <c r="D78" s="14">
        <v>2</v>
      </c>
      <c r="E78" t="s">
        <v>74</v>
      </c>
      <c r="F78" s="14" t="s">
        <v>152</v>
      </c>
      <c r="G78" s="14" t="s">
        <v>316</v>
      </c>
      <c r="H78" s="14" t="s">
        <v>317</v>
      </c>
      <c r="I78" s="14" t="s">
        <v>364</v>
      </c>
      <c r="J78" s="1" t="s">
        <v>361</v>
      </c>
      <c r="K78" s="1" t="s">
        <v>370</v>
      </c>
      <c r="L78" s="15">
        <v>45981</v>
      </c>
      <c r="M78" s="18">
        <v>22</v>
      </c>
      <c r="N78" s="14">
        <v>137</v>
      </c>
      <c r="O78" s="1">
        <v>16</v>
      </c>
      <c r="P78" s="1">
        <v>16</v>
      </c>
      <c r="Q78" s="1">
        <v>16</v>
      </c>
      <c r="R78" s="16">
        <v>6</v>
      </c>
      <c r="S78" s="16">
        <v>3</v>
      </c>
    </row>
    <row r="79" spans="1:19" x14ac:dyDescent="0.25">
      <c r="A79" s="14">
        <v>18100103</v>
      </c>
      <c r="B79" s="14">
        <v>181</v>
      </c>
      <c r="C79" s="1" t="s">
        <v>367</v>
      </c>
      <c r="D79" s="14">
        <v>3</v>
      </c>
      <c r="E79" t="s">
        <v>74</v>
      </c>
      <c r="F79" s="14" t="s">
        <v>153</v>
      </c>
      <c r="G79" s="14" t="s">
        <v>318</v>
      </c>
      <c r="H79" s="14" t="s">
        <v>319</v>
      </c>
      <c r="I79" s="14" t="s">
        <v>364</v>
      </c>
      <c r="J79" s="1" t="s">
        <v>361</v>
      </c>
      <c r="K79" s="1" t="s">
        <v>370</v>
      </c>
      <c r="L79" s="15">
        <v>45981</v>
      </c>
      <c r="M79" s="18">
        <v>51</v>
      </c>
      <c r="N79" s="14">
        <v>93</v>
      </c>
      <c r="O79" s="1">
        <v>13</v>
      </c>
      <c r="P79" s="1">
        <v>13</v>
      </c>
      <c r="Q79" s="1">
        <v>13</v>
      </c>
      <c r="R79" s="16">
        <v>1</v>
      </c>
      <c r="S79" s="16">
        <v>1</v>
      </c>
    </row>
    <row r="80" spans="1:19" x14ac:dyDescent="0.25">
      <c r="A80" s="14">
        <v>18100501</v>
      </c>
      <c r="B80" s="14">
        <v>181</v>
      </c>
      <c r="C80" t="s">
        <v>367</v>
      </c>
      <c r="D80" s="14">
        <v>1</v>
      </c>
      <c r="E80" t="s">
        <v>76</v>
      </c>
      <c r="F80" s="14" t="s">
        <v>142</v>
      </c>
      <c r="G80" s="14" t="s">
        <v>257</v>
      </c>
      <c r="H80" s="14" t="s">
        <v>301</v>
      </c>
      <c r="I80" s="14" t="s">
        <v>364</v>
      </c>
      <c r="J80" t="s">
        <v>361</v>
      </c>
      <c r="K80" s="1" t="s">
        <v>370</v>
      </c>
      <c r="L80" s="15">
        <v>45981</v>
      </c>
      <c r="M80" s="18">
        <v>65</v>
      </c>
      <c r="N80" s="14">
        <v>65</v>
      </c>
      <c r="O80" s="1">
        <v>10</v>
      </c>
      <c r="P80" s="1">
        <v>10</v>
      </c>
      <c r="Q80" s="1">
        <v>10</v>
      </c>
      <c r="R80">
        <v>5</v>
      </c>
      <c r="S80" s="16">
        <v>4</v>
      </c>
    </row>
    <row r="81" spans="1:19" x14ac:dyDescent="0.25">
      <c r="A81" s="14">
        <v>18100601</v>
      </c>
      <c r="B81" s="14">
        <v>181</v>
      </c>
      <c r="C81" s="1" t="s">
        <v>367</v>
      </c>
      <c r="D81" s="14">
        <v>1</v>
      </c>
      <c r="E81" t="s">
        <v>76</v>
      </c>
      <c r="F81" s="14" t="s">
        <v>143</v>
      </c>
      <c r="G81" s="14" t="s">
        <v>302</v>
      </c>
      <c r="H81" s="14" t="s">
        <v>303</v>
      </c>
      <c r="I81" s="14" t="s">
        <v>364</v>
      </c>
      <c r="J81" s="1" t="s">
        <v>361</v>
      </c>
      <c r="K81" s="1" t="s">
        <v>370</v>
      </c>
      <c r="L81" s="15">
        <v>45981</v>
      </c>
      <c r="M81" s="18">
        <v>63</v>
      </c>
      <c r="N81" s="14">
        <v>69</v>
      </c>
      <c r="O81" s="1">
        <v>11</v>
      </c>
      <c r="P81" s="1">
        <v>11</v>
      </c>
      <c r="Q81" s="1">
        <v>11</v>
      </c>
      <c r="R81">
        <v>6</v>
      </c>
      <c r="S81" s="16">
        <v>5</v>
      </c>
    </row>
    <row r="82" spans="1:19" x14ac:dyDescent="0.25">
      <c r="A82" s="14">
        <v>18100701</v>
      </c>
      <c r="B82" s="14">
        <v>181</v>
      </c>
      <c r="C82" s="1" t="s">
        <v>367</v>
      </c>
      <c r="D82" s="14">
        <v>1</v>
      </c>
      <c r="E82" t="s">
        <v>74</v>
      </c>
      <c r="F82" s="14" t="s">
        <v>144</v>
      </c>
      <c r="G82" s="14" t="s">
        <v>304</v>
      </c>
      <c r="H82" s="14" t="s">
        <v>305</v>
      </c>
      <c r="I82" s="14" t="s">
        <v>364</v>
      </c>
      <c r="J82" s="1" t="s">
        <v>361</v>
      </c>
      <c r="K82" s="1" t="s">
        <v>370</v>
      </c>
      <c r="L82" s="15">
        <v>45981</v>
      </c>
      <c r="M82" s="18">
        <v>99</v>
      </c>
      <c r="N82" s="14">
        <v>1</v>
      </c>
      <c r="O82" s="1">
        <v>1</v>
      </c>
      <c r="P82" s="1">
        <v>1</v>
      </c>
      <c r="Q82" s="1">
        <v>1</v>
      </c>
      <c r="R82">
        <v>7</v>
      </c>
      <c r="S82" s="1">
        <v>2</v>
      </c>
    </row>
    <row r="83" spans="1:19" x14ac:dyDescent="0.25">
      <c r="A83" s="14">
        <v>18100801</v>
      </c>
      <c r="B83" s="14">
        <v>181</v>
      </c>
      <c r="C83" s="1" t="s">
        <v>367</v>
      </c>
      <c r="D83" s="14">
        <v>1</v>
      </c>
      <c r="E83" t="s">
        <v>74</v>
      </c>
      <c r="F83" s="14" t="s">
        <v>145</v>
      </c>
      <c r="G83" s="14" t="s">
        <v>306</v>
      </c>
      <c r="H83" s="14" t="s">
        <v>307</v>
      </c>
      <c r="I83" s="14" t="s">
        <v>364</v>
      </c>
      <c r="J83" s="1" t="s">
        <v>361</v>
      </c>
      <c r="K83" s="1" t="s">
        <v>370</v>
      </c>
      <c r="L83" s="15">
        <v>45981</v>
      </c>
      <c r="M83" s="18">
        <v>87</v>
      </c>
      <c r="N83" s="14">
        <v>23</v>
      </c>
      <c r="O83" s="1">
        <v>5</v>
      </c>
      <c r="P83" s="1">
        <v>5</v>
      </c>
      <c r="Q83" s="1">
        <v>5</v>
      </c>
      <c r="R83">
        <v>8</v>
      </c>
      <c r="S83" s="1">
        <v>3</v>
      </c>
    </row>
    <row r="84" spans="1:19" x14ac:dyDescent="0.25">
      <c r="A84" s="14">
        <v>18100901</v>
      </c>
      <c r="B84" s="14">
        <v>181</v>
      </c>
      <c r="C84" s="1" t="s">
        <v>367</v>
      </c>
      <c r="D84" s="14">
        <v>1</v>
      </c>
      <c r="E84" t="s">
        <v>74</v>
      </c>
      <c r="F84" s="14" t="s">
        <v>146</v>
      </c>
      <c r="G84" s="14" t="s">
        <v>243</v>
      </c>
      <c r="H84" s="14" t="s">
        <v>244</v>
      </c>
      <c r="I84" s="14" t="s">
        <v>364</v>
      </c>
      <c r="J84" s="1" t="s">
        <v>361</v>
      </c>
      <c r="K84" s="1" t="s">
        <v>370</v>
      </c>
      <c r="L84" s="15">
        <v>45981</v>
      </c>
      <c r="M84" s="18">
        <v>21</v>
      </c>
      <c r="N84" s="14">
        <v>138</v>
      </c>
      <c r="O84" s="1">
        <v>17</v>
      </c>
      <c r="P84" s="1">
        <v>17</v>
      </c>
      <c r="Q84" s="1">
        <v>17</v>
      </c>
      <c r="R84">
        <v>9</v>
      </c>
      <c r="S84" s="16">
        <v>4</v>
      </c>
    </row>
    <row r="85" spans="1:19" x14ac:dyDescent="0.25">
      <c r="A85" s="14">
        <v>18101001</v>
      </c>
      <c r="B85" s="14">
        <v>181</v>
      </c>
      <c r="C85" s="1" t="s">
        <v>367</v>
      </c>
      <c r="D85" s="14">
        <v>1</v>
      </c>
      <c r="E85" t="s">
        <v>74</v>
      </c>
      <c r="F85" s="14" t="s">
        <v>147</v>
      </c>
      <c r="G85" s="14" t="s">
        <v>308</v>
      </c>
      <c r="H85" s="14" t="s">
        <v>309</v>
      </c>
      <c r="I85" s="14" t="s">
        <v>364</v>
      </c>
      <c r="J85" s="1" t="s">
        <v>361</v>
      </c>
      <c r="K85" s="1" t="s">
        <v>370</v>
      </c>
      <c r="L85" s="15">
        <v>45981</v>
      </c>
      <c r="M85" s="18">
        <v>93</v>
      </c>
      <c r="N85" s="14">
        <v>16</v>
      </c>
      <c r="O85" s="1">
        <v>4</v>
      </c>
      <c r="P85" s="1">
        <v>4</v>
      </c>
      <c r="Q85" s="1">
        <v>4</v>
      </c>
      <c r="R85">
        <v>10</v>
      </c>
      <c r="S85" s="16">
        <v>5</v>
      </c>
    </row>
    <row r="86" spans="1:19" x14ac:dyDescent="0.25">
      <c r="A86" s="14">
        <v>18200401</v>
      </c>
      <c r="B86" s="14">
        <v>182</v>
      </c>
      <c r="C86" s="1" t="s">
        <v>368</v>
      </c>
      <c r="D86" s="14">
        <v>1</v>
      </c>
      <c r="E86" t="s">
        <v>74</v>
      </c>
      <c r="F86" s="14" t="s">
        <v>157</v>
      </c>
      <c r="G86" s="14" t="s">
        <v>325</v>
      </c>
      <c r="H86" s="14" t="s">
        <v>326</v>
      </c>
      <c r="I86" s="14" t="s">
        <v>365</v>
      </c>
      <c r="J86" s="1" t="s">
        <v>362</v>
      </c>
      <c r="K86" s="1" t="s">
        <v>370</v>
      </c>
      <c r="L86" s="15">
        <v>45981</v>
      </c>
      <c r="M86" s="18">
        <v>20</v>
      </c>
      <c r="N86" s="14">
        <v>143</v>
      </c>
      <c r="O86" s="1">
        <v>99</v>
      </c>
      <c r="P86" s="1">
        <v>99</v>
      </c>
      <c r="Q86" s="1">
        <v>99</v>
      </c>
      <c r="R86" s="16">
        <v>7</v>
      </c>
      <c r="S86" s="16">
        <v>7</v>
      </c>
    </row>
    <row r="87" spans="1:19" x14ac:dyDescent="0.25">
      <c r="A87" s="14">
        <v>18200601</v>
      </c>
      <c r="B87" s="14">
        <v>182</v>
      </c>
      <c r="C87" s="1" t="s">
        <v>368</v>
      </c>
      <c r="D87" s="14">
        <v>1</v>
      </c>
      <c r="E87" t="s">
        <v>74</v>
      </c>
      <c r="F87" s="14" t="s">
        <v>159</v>
      </c>
      <c r="G87" s="14" t="s">
        <v>272</v>
      </c>
      <c r="H87" s="14" t="s">
        <v>273</v>
      </c>
      <c r="I87" s="14" t="s">
        <v>365</v>
      </c>
      <c r="J87" s="1" t="s">
        <v>362</v>
      </c>
      <c r="K87" s="1" t="s">
        <v>370</v>
      </c>
      <c r="L87" s="15">
        <v>45981</v>
      </c>
      <c r="M87" s="18">
        <v>25</v>
      </c>
      <c r="N87" s="14">
        <v>130</v>
      </c>
      <c r="O87" s="1">
        <v>90</v>
      </c>
      <c r="P87" s="1">
        <v>90</v>
      </c>
      <c r="Q87" s="1">
        <v>90</v>
      </c>
      <c r="R87" s="16">
        <v>8</v>
      </c>
      <c r="S87" s="16">
        <v>8</v>
      </c>
    </row>
    <row r="88" spans="1:19" x14ac:dyDescent="0.25">
      <c r="A88" s="14">
        <v>18200801</v>
      </c>
      <c r="B88" s="14">
        <v>182</v>
      </c>
      <c r="C88" s="1" t="s">
        <v>368</v>
      </c>
      <c r="D88" s="14">
        <v>1</v>
      </c>
      <c r="E88" t="s">
        <v>74</v>
      </c>
      <c r="F88" s="14" t="s">
        <v>161</v>
      </c>
      <c r="G88" s="14" t="s">
        <v>331</v>
      </c>
      <c r="H88" s="14" t="s">
        <v>332</v>
      </c>
      <c r="I88" s="14" t="s">
        <v>365</v>
      </c>
      <c r="J88" s="1" t="s">
        <v>362</v>
      </c>
      <c r="K88" s="1" t="s">
        <v>370</v>
      </c>
      <c r="L88" s="15">
        <v>45981</v>
      </c>
      <c r="M88" s="18">
        <v>88</v>
      </c>
      <c r="N88" s="14">
        <v>21</v>
      </c>
      <c r="O88" s="1">
        <v>13</v>
      </c>
      <c r="P88" s="1">
        <v>13</v>
      </c>
      <c r="Q88" s="1">
        <v>13</v>
      </c>
      <c r="R88" s="16">
        <v>9</v>
      </c>
      <c r="S88" s="16">
        <v>9</v>
      </c>
    </row>
    <row r="89" spans="1:19" x14ac:dyDescent="0.25">
      <c r="A89" s="14">
        <v>18201001</v>
      </c>
      <c r="B89" s="14">
        <v>182</v>
      </c>
      <c r="C89" s="1" t="s">
        <v>368</v>
      </c>
      <c r="D89" s="14">
        <v>1</v>
      </c>
      <c r="E89" t="s">
        <v>76</v>
      </c>
      <c r="F89" s="14" t="s">
        <v>163</v>
      </c>
      <c r="G89" s="14" t="s">
        <v>334</v>
      </c>
      <c r="H89" s="14" t="s">
        <v>335</v>
      </c>
      <c r="I89" s="14" t="s">
        <v>365</v>
      </c>
      <c r="J89" s="1" t="s">
        <v>362</v>
      </c>
      <c r="K89" s="1" t="s">
        <v>370</v>
      </c>
      <c r="L89" s="15">
        <v>45981</v>
      </c>
      <c r="M89" s="18">
        <v>29</v>
      </c>
      <c r="N89" s="14">
        <v>124</v>
      </c>
      <c r="O89" s="1">
        <v>86</v>
      </c>
      <c r="P89" s="1">
        <v>86</v>
      </c>
      <c r="Q89" s="1">
        <v>86</v>
      </c>
      <c r="R89" s="16">
        <v>10</v>
      </c>
      <c r="S89" s="16">
        <v>1</v>
      </c>
    </row>
    <row r="90" spans="1:19" x14ac:dyDescent="0.25">
      <c r="A90" s="14">
        <v>18200202</v>
      </c>
      <c r="B90" s="14">
        <v>182</v>
      </c>
      <c r="C90" s="1" t="s">
        <v>368</v>
      </c>
      <c r="D90" s="14">
        <v>2</v>
      </c>
      <c r="E90" t="s">
        <v>76</v>
      </c>
      <c r="F90" s="14" t="s">
        <v>164</v>
      </c>
      <c r="G90" s="14" t="s">
        <v>336</v>
      </c>
      <c r="H90" s="14" t="s">
        <v>337</v>
      </c>
      <c r="I90" s="14" t="s">
        <v>365</v>
      </c>
      <c r="J90" s="1" t="s">
        <v>362</v>
      </c>
      <c r="K90" s="1" t="s">
        <v>370</v>
      </c>
      <c r="L90" s="15">
        <v>45981</v>
      </c>
      <c r="M90" s="18">
        <v>58</v>
      </c>
      <c r="N90" s="14">
        <v>80</v>
      </c>
      <c r="O90" s="1">
        <v>54</v>
      </c>
      <c r="P90" s="1">
        <v>54</v>
      </c>
      <c r="Q90" s="1">
        <v>54</v>
      </c>
      <c r="R90" s="16">
        <v>1</v>
      </c>
      <c r="S90" s="16">
        <v>1</v>
      </c>
    </row>
    <row r="91" spans="1:19" x14ac:dyDescent="0.25">
      <c r="A91" s="14">
        <v>18200302</v>
      </c>
      <c r="B91" s="14">
        <v>182</v>
      </c>
      <c r="C91" s="1" t="s">
        <v>368</v>
      </c>
      <c r="D91" s="14">
        <v>2</v>
      </c>
      <c r="E91" t="s">
        <v>76</v>
      </c>
      <c r="F91" s="14" t="s">
        <v>165</v>
      </c>
      <c r="G91" s="14" t="s">
        <v>338</v>
      </c>
      <c r="H91" s="14" t="s">
        <v>209</v>
      </c>
      <c r="I91" s="14" t="s">
        <v>365</v>
      </c>
      <c r="J91" s="1" t="s">
        <v>362</v>
      </c>
      <c r="K91" s="1" t="s">
        <v>370</v>
      </c>
      <c r="L91" s="15">
        <v>45981</v>
      </c>
      <c r="M91" s="18">
        <v>82</v>
      </c>
      <c r="N91" s="14">
        <v>32</v>
      </c>
      <c r="O91" s="1">
        <v>20</v>
      </c>
      <c r="P91" s="1">
        <v>20</v>
      </c>
      <c r="Q91" s="1">
        <v>20</v>
      </c>
      <c r="R91" s="16">
        <v>2</v>
      </c>
      <c r="S91" s="16">
        <v>2</v>
      </c>
    </row>
    <row r="92" spans="1:19" x14ac:dyDescent="0.25">
      <c r="A92" s="14">
        <v>18200402</v>
      </c>
      <c r="B92" s="14">
        <v>182</v>
      </c>
      <c r="C92" s="1" t="s">
        <v>368</v>
      </c>
      <c r="D92" s="14">
        <v>2</v>
      </c>
      <c r="E92" t="s">
        <v>76</v>
      </c>
      <c r="F92" s="14" t="s">
        <v>166</v>
      </c>
      <c r="G92" s="14" t="s">
        <v>339</v>
      </c>
      <c r="H92" s="14" t="s">
        <v>340</v>
      </c>
      <c r="I92" s="14" t="s">
        <v>365</v>
      </c>
      <c r="J92" s="1" t="s">
        <v>362</v>
      </c>
      <c r="K92" s="1" t="s">
        <v>370</v>
      </c>
      <c r="L92" s="15">
        <v>45981</v>
      </c>
      <c r="M92" s="18">
        <v>48</v>
      </c>
      <c r="N92" s="14">
        <v>97</v>
      </c>
      <c r="O92" s="1">
        <v>68</v>
      </c>
      <c r="P92" s="1">
        <v>68</v>
      </c>
      <c r="Q92" s="1">
        <v>68</v>
      </c>
      <c r="R92" s="16">
        <v>3</v>
      </c>
      <c r="S92" s="16">
        <v>3</v>
      </c>
    </row>
    <row r="93" spans="1:19" x14ac:dyDescent="0.25">
      <c r="A93" s="14">
        <v>18200502</v>
      </c>
      <c r="B93" s="14">
        <v>182</v>
      </c>
      <c r="C93" s="1" t="s">
        <v>368</v>
      </c>
      <c r="D93" s="14">
        <v>2</v>
      </c>
      <c r="E93" t="s">
        <v>76</v>
      </c>
      <c r="F93" s="14" t="s">
        <v>167</v>
      </c>
      <c r="G93" s="14" t="s">
        <v>339</v>
      </c>
      <c r="H93" s="14" t="s">
        <v>341</v>
      </c>
      <c r="I93" s="14" t="s">
        <v>365</v>
      </c>
      <c r="J93" s="1" t="s">
        <v>362</v>
      </c>
      <c r="K93" s="1" t="s">
        <v>370</v>
      </c>
      <c r="L93" s="15">
        <v>45981</v>
      </c>
      <c r="M93" s="18">
        <v>64</v>
      </c>
      <c r="N93" s="14">
        <v>67</v>
      </c>
      <c r="O93" s="1">
        <v>44</v>
      </c>
      <c r="P93" s="1">
        <v>44</v>
      </c>
      <c r="Q93" s="1">
        <v>44</v>
      </c>
      <c r="R93" s="16">
        <v>4</v>
      </c>
      <c r="S93" s="16">
        <v>4</v>
      </c>
    </row>
    <row r="94" spans="1:19" x14ac:dyDescent="0.25">
      <c r="A94" s="14">
        <v>18200602</v>
      </c>
      <c r="B94" s="14">
        <v>182</v>
      </c>
      <c r="C94" s="1" t="s">
        <v>368</v>
      </c>
      <c r="D94" s="14">
        <v>2</v>
      </c>
      <c r="E94" t="s">
        <v>74</v>
      </c>
      <c r="F94" s="14" t="s">
        <v>168</v>
      </c>
      <c r="G94" s="14" t="s">
        <v>342</v>
      </c>
      <c r="H94" s="14" t="s">
        <v>343</v>
      </c>
      <c r="I94" s="14" t="s">
        <v>365</v>
      </c>
      <c r="J94" s="1" t="s">
        <v>362</v>
      </c>
      <c r="K94" s="1" t="s">
        <v>370</v>
      </c>
      <c r="L94" s="15">
        <v>45981</v>
      </c>
      <c r="M94" s="18">
        <v>55</v>
      </c>
      <c r="N94" s="14">
        <v>84</v>
      </c>
      <c r="O94" s="1">
        <v>57</v>
      </c>
      <c r="P94" s="1">
        <v>57</v>
      </c>
      <c r="Q94" s="1">
        <v>57</v>
      </c>
      <c r="R94" s="16">
        <v>5</v>
      </c>
      <c r="S94" s="16">
        <v>1</v>
      </c>
    </row>
    <row r="95" spans="1:19" x14ac:dyDescent="0.25">
      <c r="A95" s="14">
        <v>18200702</v>
      </c>
      <c r="B95" s="14">
        <v>182</v>
      </c>
      <c r="C95" s="1" t="s">
        <v>368</v>
      </c>
      <c r="D95" s="14">
        <v>2</v>
      </c>
      <c r="E95" t="s">
        <v>74</v>
      </c>
      <c r="F95" s="14" t="s">
        <v>169</v>
      </c>
      <c r="G95" s="14" t="s">
        <v>344</v>
      </c>
      <c r="H95" s="14" t="s">
        <v>345</v>
      </c>
      <c r="I95" s="14" t="s">
        <v>365</v>
      </c>
      <c r="J95" s="1" t="s">
        <v>362</v>
      </c>
      <c r="K95" s="1" t="s">
        <v>370</v>
      </c>
      <c r="L95" s="15">
        <v>45981</v>
      </c>
      <c r="M95" s="18">
        <v>60</v>
      </c>
      <c r="N95" s="14">
        <v>77</v>
      </c>
      <c r="O95" s="1">
        <v>51</v>
      </c>
      <c r="P95" s="1">
        <v>51</v>
      </c>
      <c r="Q95" s="1">
        <v>51</v>
      </c>
      <c r="R95" s="16">
        <v>6</v>
      </c>
      <c r="S95" s="16">
        <v>2</v>
      </c>
    </row>
    <row r="96" spans="1:19" x14ac:dyDescent="0.25">
      <c r="A96" s="14">
        <v>18200802</v>
      </c>
      <c r="B96" s="14">
        <v>182</v>
      </c>
      <c r="C96" s="1" t="s">
        <v>368</v>
      </c>
      <c r="D96" s="14">
        <v>2</v>
      </c>
      <c r="E96" t="s">
        <v>74</v>
      </c>
      <c r="F96" s="14" t="s">
        <v>170</v>
      </c>
      <c r="G96" s="14" t="s">
        <v>346</v>
      </c>
      <c r="H96" s="14" t="s">
        <v>347</v>
      </c>
      <c r="I96" s="14" t="s">
        <v>365</v>
      </c>
      <c r="J96" s="1" t="s">
        <v>362</v>
      </c>
      <c r="K96" s="1" t="s">
        <v>370</v>
      </c>
      <c r="L96" s="15">
        <v>45981</v>
      </c>
      <c r="M96" s="18">
        <v>83</v>
      </c>
      <c r="N96" s="14">
        <v>29</v>
      </c>
      <c r="O96" s="1">
        <v>18</v>
      </c>
      <c r="P96" s="1">
        <v>18</v>
      </c>
      <c r="Q96" s="1">
        <v>18</v>
      </c>
      <c r="R96" s="16">
        <v>7</v>
      </c>
      <c r="S96" s="16">
        <v>3</v>
      </c>
    </row>
    <row r="97" spans="1:19" x14ac:dyDescent="0.25">
      <c r="A97" s="14">
        <v>18200103</v>
      </c>
      <c r="B97" s="14">
        <v>182</v>
      </c>
      <c r="C97" s="1" t="s">
        <v>368</v>
      </c>
      <c r="D97" s="14">
        <v>3</v>
      </c>
      <c r="E97" t="s">
        <v>74</v>
      </c>
      <c r="F97" s="14" t="s">
        <v>171</v>
      </c>
      <c r="G97" s="14" t="s">
        <v>348</v>
      </c>
      <c r="H97" s="14" t="s">
        <v>349</v>
      </c>
      <c r="I97" s="14" t="s">
        <v>365</v>
      </c>
      <c r="J97" s="1" t="s">
        <v>362</v>
      </c>
      <c r="K97" s="1" t="s">
        <v>370</v>
      </c>
      <c r="L97" s="15">
        <v>45981</v>
      </c>
      <c r="M97" s="18">
        <v>99</v>
      </c>
      <c r="N97" s="14">
        <v>1</v>
      </c>
      <c r="O97" s="1">
        <v>1</v>
      </c>
      <c r="P97" s="1">
        <v>1</v>
      </c>
      <c r="Q97" s="1">
        <v>1</v>
      </c>
      <c r="R97" s="16">
        <v>1</v>
      </c>
      <c r="S97" s="16">
        <v>1</v>
      </c>
    </row>
    <row r="98" spans="1:19" x14ac:dyDescent="0.25">
      <c r="A98" s="14">
        <v>18200203</v>
      </c>
      <c r="B98" s="14">
        <v>182</v>
      </c>
      <c r="C98" s="1" t="s">
        <v>368</v>
      </c>
      <c r="D98" s="14">
        <v>3</v>
      </c>
      <c r="E98" t="s">
        <v>74</v>
      </c>
      <c r="F98" s="14" t="s">
        <v>172</v>
      </c>
      <c r="G98" s="14" t="s">
        <v>350</v>
      </c>
      <c r="H98" s="14" t="s">
        <v>351</v>
      </c>
      <c r="I98" s="14" t="s">
        <v>365</v>
      </c>
      <c r="J98" s="1" t="s">
        <v>362</v>
      </c>
      <c r="K98" s="1" t="s">
        <v>370</v>
      </c>
      <c r="L98" s="15">
        <v>45981</v>
      </c>
      <c r="M98" s="18">
        <v>35</v>
      </c>
      <c r="N98" s="14">
        <v>117</v>
      </c>
      <c r="O98" s="1">
        <v>81</v>
      </c>
      <c r="P98" s="1">
        <v>81</v>
      </c>
      <c r="Q98" s="1">
        <v>81</v>
      </c>
      <c r="R98" s="16">
        <v>2</v>
      </c>
      <c r="S98" s="16">
        <v>2</v>
      </c>
    </row>
    <row r="99" spans="1:19" x14ac:dyDescent="0.25">
      <c r="A99" s="14">
        <v>18200303</v>
      </c>
      <c r="B99" s="14">
        <v>182</v>
      </c>
      <c r="C99" s="1" t="s">
        <v>368</v>
      </c>
      <c r="D99" s="14">
        <v>3</v>
      </c>
      <c r="E99" t="s">
        <v>76</v>
      </c>
      <c r="F99" s="14" t="s">
        <v>173</v>
      </c>
      <c r="G99" s="14" t="s">
        <v>352</v>
      </c>
      <c r="H99" s="14" t="s">
        <v>353</v>
      </c>
      <c r="I99" s="14" t="s">
        <v>365</v>
      </c>
      <c r="J99" s="1" t="s">
        <v>362</v>
      </c>
      <c r="K99" s="1" t="s">
        <v>370</v>
      </c>
      <c r="L99" s="15">
        <v>45981</v>
      </c>
      <c r="M99" s="18">
        <v>63</v>
      </c>
      <c r="N99" s="14">
        <v>69</v>
      </c>
      <c r="O99" s="1">
        <v>45</v>
      </c>
      <c r="P99" s="1">
        <v>45</v>
      </c>
      <c r="Q99" s="1">
        <v>45</v>
      </c>
      <c r="R99" s="16">
        <v>3</v>
      </c>
      <c r="S99" s="16">
        <v>1</v>
      </c>
    </row>
    <row r="100" spans="1:19" x14ac:dyDescent="0.25">
      <c r="A100" s="14">
        <v>18200403</v>
      </c>
      <c r="B100" s="14">
        <v>182</v>
      </c>
      <c r="C100" s="1" t="s">
        <v>368</v>
      </c>
      <c r="D100" s="14">
        <v>3</v>
      </c>
      <c r="E100" t="s">
        <v>76</v>
      </c>
      <c r="F100" s="14" t="s">
        <v>174</v>
      </c>
      <c r="G100" s="14" t="s">
        <v>354</v>
      </c>
      <c r="H100" s="14" t="s">
        <v>355</v>
      </c>
      <c r="I100" s="14" t="s">
        <v>365</v>
      </c>
      <c r="J100" s="1" t="s">
        <v>362</v>
      </c>
      <c r="K100" s="1" t="s">
        <v>370</v>
      </c>
      <c r="L100" s="15">
        <v>45981</v>
      </c>
      <c r="M100" s="18">
        <v>70</v>
      </c>
      <c r="N100" s="14">
        <v>56</v>
      </c>
      <c r="O100" s="1">
        <v>36</v>
      </c>
      <c r="P100" s="1">
        <v>36</v>
      </c>
      <c r="Q100" s="1">
        <v>36</v>
      </c>
      <c r="R100" s="16">
        <v>4</v>
      </c>
      <c r="S100" s="16">
        <v>2</v>
      </c>
    </row>
    <row r="101" spans="1:19" x14ac:dyDescent="0.25">
      <c r="A101" s="14">
        <v>18200503</v>
      </c>
      <c r="B101" s="14">
        <v>182</v>
      </c>
      <c r="C101" s="1" t="s">
        <v>368</v>
      </c>
      <c r="D101" s="14">
        <v>3</v>
      </c>
      <c r="E101" t="s">
        <v>74</v>
      </c>
      <c r="F101" s="14" t="s">
        <v>175</v>
      </c>
      <c r="G101" s="14" t="s">
        <v>356</v>
      </c>
      <c r="H101" s="14" t="s">
        <v>357</v>
      </c>
      <c r="I101" s="14" t="s">
        <v>365</v>
      </c>
      <c r="J101" s="1" t="s">
        <v>362</v>
      </c>
      <c r="K101" s="1" t="s">
        <v>370</v>
      </c>
      <c r="L101" s="15">
        <v>45981</v>
      </c>
      <c r="M101" s="18">
        <v>45</v>
      </c>
      <c r="N101" s="14">
        <v>100</v>
      </c>
      <c r="O101" s="1">
        <v>70</v>
      </c>
      <c r="P101" s="1">
        <v>70</v>
      </c>
      <c r="Q101" s="1">
        <v>70</v>
      </c>
      <c r="R101" s="16">
        <v>5</v>
      </c>
      <c r="S101" s="16">
        <v>3</v>
      </c>
    </row>
    <row r="102" spans="1:19" x14ac:dyDescent="0.25">
      <c r="A102" s="14">
        <v>18200603</v>
      </c>
      <c r="B102" s="14">
        <v>182</v>
      </c>
      <c r="C102" s="1" t="s">
        <v>368</v>
      </c>
      <c r="D102" s="14">
        <v>3</v>
      </c>
      <c r="E102" t="s">
        <v>74</v>
      </c>
      <c r="F102" s="14" t="s">
        <v>176</v>
      </c>
      <c r="G102" s="14" t="s">
        <v>356</v>
      </c>
      <c r="H102" s="14" t="s">
        <v>357</v>
      </c>
      <c r="I102" s="14" t="s">
        <v>365</v>
      </c>
      <c r="J102" s="1" t="s">
        <v>362</v>
      </c>
      <c r="K102" s="1" t="s">
        <v>370</v>
      </c>
      <c r="L102" s="15">
        <v>45981</v>
      </c>
      <c r="M102" s="18">
        <v>83</v>
      </c>
      <c r="N102" s="14">
        <v>29</v>
      </c>
      <c r="O102" s="1">
        <v>18</v>
      </c>
      <c r="P102" s="1">
        <v>18</v>
      </c>
      <c r="Q102" s="1">
        <v>18</v>
      </c>
      <c r="R102" s="16">
        <v>6</v>
      </c>
      <c r="S102" s="16">
        <v>4</v>
      </c>
    </row>
    <row r="103" spans="1:19" x14ac:dyDescent="0.25">
      <c r="A103" s="14">
        <v>18900101</v>
      </c>
      <c r="B103" s="14">
        <v>189</v>
      </c>
      <c r="C103" t="s">
        <v>369</v>
      </c>
      <c r="D103" s="14">
        <v>1</v>
      </c>
      <c r="E103" s="1" t="s">
        <v>76</v>
      </c>
      <c r="F103" s="14" t="s">
        <v>90</v>
      </c>
      <c r="G103" s="14" t="s">
        <v>202</v>
      </c>
      <c r="H103" s="14" t="s">
        <v>203</v>
      </c>
      <c r="I103" s="14" t="s">
        <v>363</v>
      </c>
      <c r="J103" s="14" t="s">
        <v>360</v>
      </c>
      <c r="K103" s="1" t="s">
        <v>370</v>
      </c>
      <c r="L103" s="15">
        <v>45981</v>
      </c>
      <c r="M103" s="18">
        <v>93</v>
      </c>
      <c r="N103" s="14">
        <v>16</v>
      </c>
      <c r="O103" s="1">
        <v>16</v>
      </c>
      <c r="P103" s="1">
        <v>16</v>
      </c>
      <c r="Q103" s="1">
        <v>7</v>
      </c>
      <c r="R103">
        <v>1</v>
      </c>
      <c r="S103" s="1">
        <v>1</v>
      </c>
    </row>
    <row r="104" spans="1:19" x14ac:dyDescent="0.25">
      <c r="A104" s="14">
        <v>18900201</v>
      </c>
      <c r="B104" s="14">
        <v>189</v>
      </c>
      <c r="C104" s="1" t="s">
        <v>369</v>
      </c>
      <c r="D104" s="14">
        <v>1</v>
      </c>
      <c r="E104" s="1" t="s">
        <v>76</v>
      </c>
      <c r="F104" s="14" t="s">
        <v>91</v>
      </c>
      <c r="G104" s="14" t="s">
        <v>204</v>
      </c>
      <c r="H104" s="14" t="s">
        <v>205</v>
      </c>
      <c r="I104" s="14" t="s">
        <v>363</v>
      </c>
      <c r="J104" s="14" t="s">
        <v>360</v>
      </c>
      <c r="K104" s="1" t="s">
        <v>370</v>
      </c>
      <c r="L104" s="15">
        <v>45981</v>
      </c>
      <c r="M104" s="18">
        <v>97</v>
      </c>
      <c r="N104" s="14">
        <v>6</v>
      </c>
      <c r="O104" s="1">
        <v>6</v>
      </c>
      <c r="P104" s="1">
        <v>6</v>
      </c>
      <c r="Q104" s="1">
        <v>2</v>
      </c>
      <c r="R104">
        <v>2</v>
      </c>
      <c r="S104" s="1">
        <v>2</v>
      </c>
    </row>
    <row r="105" spans="1:19" x14ac:dyDescent="0.25">
      <c r="A105" s="14">
        <v>18900301</v>
      </c>
      <c r="B105" s="14">
        <v>189</v>
      </c>
      <c r="C105" s="1" t="s">
        <v>369</v>
      </c>
      <c r="D105" s="14">
        <v>1</v>
      </c>
      <c r="E105" s="1" t="s">
        <v>76</v>
      </c>
      <c r="F105" s="14" t="s">
        <v>92</v>
      </c>
      <c r="G105" s="14" t="s">
        <v>206</v>
      </c>
      <c r="H105" s="14" t="s">
        <v>207</v>
      </c>
      <c r="I105" s="14" t="s">
        <v>363</v>
      </c>
      <c r="J105" s="14" t="s">
        <v>360</v>
      </c>
      <c r="K105" s="1" t="s">
        <v>370</v>
      </c>
      <c r="L105" s="15">
        <v>45981</v>
      </c>
      <c r="M105" s="18">
        <v>21</v>
      </c>
      <c r="N105" s="14">
        <v>138</v>
      </c>
      <c r="O105" s="1">
        <v>138</v>
      </c>
      <c r="P105" s="1">
        <v>138</v>
      </c>
      <c r="Q105" s="1">
        <v>42</v>
      </c>
      <c r="R105">
        <v>3</v>
      </c>
      <c r="S105" s="1">
        <v>3</v>
      </c>
    </row>
    <row r="106" spans="1:19" x14ac:dyDescent="0.25">
      <c r="A106" s="14">
        <v>18900401</v>
      </c>
      <c r="B106" s="14">
        <v>189</v>
      </c>
      <c r="C106" s="1" t="s">
        <v>369</v>
      </c>
      <c r="D106" s="14">
        <v>1</v>
      </c>
      <c r="E106" s="1" t="s">
        <v>76</v>
      </c>
      <c r="F106" s="14" t="s">
        <v>93</v>
      </c>
      <c r="G106" s="14" t="s">
        <v>208</v>
      </c>
      <c r="H106" s="14" t="s">
        <v>209</v>
      </c>
      <c r="I106" s="14" t="s">
        <v>363</v>
      </c>
      <c r="J106" s="14" t="s">
        <v>360</v>
      </c>
      <c r="K106" s="1" t="s">
        <v>370</v>
      </c>
      <c r="L106" s="15">
        <v>45981</v>
      </c>
      <c r="M106" s="18">
        <v>83</v>
      </c>
      <c r="N106" s="14">
        <v>29</v>
      </c>
      <c r="O106" s="1">
        <v>29</v>
      </c>
      <c r="P106" s="1">
        <v>29</v>
      </c>
      <c r="Q106" s="1">
        <v>11</v>
      </c>
      <c r="R106" s="16">
        <v>4</v>
      </c>
      <c r="S106" s="16">
        <v>4</v>
      </c>
    </row>
    <row r="107" spans="1:19" x14ac:dyDescent="0.25">
      <c r="A107" s="14">
        <v>18900102</v>
      </c>
      <c r="B107" s="14">
        <v>189</v>
      </c>
      <c r="C107" s="1" t="s">
        <v>369</v>
      </c>
      <c r="D107" s="14">
        <v>2</v>
      </c>
      <c r="E107" s="1" t="s">
        <v>74</v>
      </c>
      <c r="F107" s="14" t="s">
        <v>94</v>
      </c>
      <c r="G107" s="14" t="s">
        <v>210</v>
      </c>
      <c r="H107" s="14" t="s">
        <v>211</v>
      </c>
      <c r="I107" s="14" t="s">
        <v>363</v>
      </c>
      <c r="J107" s="14" t="s">
        <v>360</v>
      </c>
      <c r="K107" s="1" t="s">
        <v>370</v>
      </c>
      <c r="L107" s="15">
        <v>45981</v>
      </c>
      <c r="M107" s="18">
        <v>78</v>
      </c>
      <c r="N107" s="14">
        <v>40</v>
      </c>
      <c r="O107" s="1">
        <v>40</v>
      </c>
      <c r="P107" s="1">
        <v>40</v>
      </c>
      <c r="Q107" s="1">
        <v>14</v>
      </c>
      <c r="R107" s="16">
        <v>1</v>
      </c>
      <c r="S107" s="16">
        <v>1</v>
      </c>
    </row>
    <row r="108" spans="1:19" x14ac:dyDescent="0.25">
      <c r="A108" s="14">
        <v>18900202</v>
      </c>
      <c r="B108" s="14">
        <v>189</v>
      </c>
      <c r="C108" s="1" t="s">
        <v>369</v>
      </c>
      <c r="D108" s="14">
        <v>2</v>
      </c>
      <c r="E108" s="1" t="s">
        <v>74</v>
      </c>
      <c r="F108" s="14" t="s">
        <v>95</v>
      </c>
      <c r="G108" s="14" t="s">
        <v>212</v>
      </c>
      <c r="H108" s="14" t="s">
        <v>213</v>
      </c>
      <c r="I108" s="14" t="s">
        <v>363</v>
      </c>
      <c r="J108" s="14" t="s">
        <v>360</v>
      </c>
      <c r="K108" s="1" t="s">
        <v>370</v>
      </c>
      <c r="L108" s="15">
        <v>45981</v>
      </c>
      <c r="M108" s="18">
        <v>72</v>
      </c>
      <c r="N108" s="14">
        <v>52</v>
      </c>
      <c r="O108" s="1">
        <v>52</v>
      </c>
      <c r="P108" s="1">
        <v>52</v>
      </c>
      <c r="Q108" s="1">
        <v>18</v>
      </c>
      <c r="R108" s="16">
        <v>2</v>
      </c>
      <c r="S108" s="16">
        <v>2</v>
      </c>
    </row>
    <row r="109" spans="1:19" x14ac:dyDescent="0.25">
      <c r="A109" s="14">
        <v>18900302</v>
      </c>
      <c r="B109" s="14">
        <v>189</v>
      </c>
      <c r="C109" s="1" t="s">
        <v>369</v>
      </c>
      <c r="D109" s="14">
        <v>2</v>
      </c>
      <c r="E109" s="1" t="s">
        <v>74</v>
      </c>
      <c r="F109" s="14" t="s">
        <v>96</v>
      </c>
      <c r="G109" s="14" t="s">
        <v>214</v>
      </c>
      <c r="H109" s="14" t="s">
        <v>215</v>
      </c>
      <c r="I109" s="14" t="s">
        <v>363</v>
      </c>
      <c r="J109" s="14" t="s">
        <v>360</v>
      </c>
      <c r="K109" s="1" t="s">
        <v>370</v>
      </c>
      <c r="L109" s="15">
        <v>45981</v>
      </c>
      <c r="M109" s="18">
        <v>42</v>
      </c>
      <c r="N109" s="14">
        <v>106</v>
      </c>
      <c r="O109" s="1">
        <v>106</v>
      </c>
      <c r="P109" s="1">
        <v>106</v>
      </c>
      <c r="Q109" s="1">
        <v>32</v>
      </c>
      <c r="R109" s="16">
        <v>3</v>
      </c>
      <c r="S109" s="16">
        <v>3</v>
      </c>
    </row>
    <row r="110" spans="1:19" x14ac:dyDescent="0.25">
      <c r="A110" s="14">
        <v>18900402</v>
      </c>
      <c r="B110" s="14">
        <v>189</v>
      </c>
      <c r="C110" s="1" t="s">
        <v>369</v>
      </c>
      <c r="D110" s="14">
        <v>2</v>
      </c>
      <c r="E110" s="1" t="s">
        <v>74</v>
      </c>
      <c r="F110" s="14" t="s">
        <v>97</v>
      </c>
      <c r="G110" s="14" t="s">
        <v>216</v>
      </c>
      <c r="H110" s="14" t="s">
        <v>217</v>
      </c>
      <c r="I110" s="14" t="s">
        <v>363</v>
      </c>
      <c r="J110" s="14" t="s">
        <v>360</v>
      </c>
      <c r="K110" s="1" t="s">
        <v>370</v>
      </c>
      <c r="L110" s="15">
        <v>45981</v>
      </c>
      <c r="M110" s="18">
        <v>97</v>
      </c>
      <c r="N110" s="14">
        <v>6</v>
      </c>
      <c r="O110" s="1">
        <v>6</v>
      </c>
      <c r="P110" s="1">
        <v>6</v>
      </c>
      <c r="Q110" s="1">
        <v>2</v>
      </c>
      <c r="R110" s="16">
        <v>4</v>
      </c>
      <c r="S110" s="16">
        <v>4</v>
      </c>
    </row>
    <row r="111" spans="1:19" x14ac:dyDescent="0.25">
      <c r="A111" s="14">
        <v>18900502</v>
      </c>
      <c r="B111" s="14">
        <v>189</v>
      </c>
      <c r="C111" s="1" t="s">
        <v>369</v>
      </c>
      <c r="D111" s="14">
        <v>2</v>
      </c>
      <c r="E111" s="1" t="s">
        <v>74</v>
      </c>
      <c r="F111" s="14" t="s">
        <v>98</v>
      </c>
      <c r="G111" s="14" t="s">
        <v>218</v>
      </c>
      <c r="H111" s="14" t="s">
        <v>219</v>
      </c>
      <c r="I111" s="14" t="s">
        <v>363</v>
      </c>
      <c r="J111" s="14" t="s">
        <v>360</v>
      </c>
      <c r="K111" s="1" t="s">
        <v>370</v>
      </c>
      <c r="L111" s="15">
        <v>45981</v>
      </c>
      <c r="M111" s="18">
        <v>96</v>
      </c>
      <c r="N111" s="14">
        <v>9</v>
      </c>
      <c r="O111" s="1">
        <v>9</v>
      </c>
      <c r="P111" s="1">
        <v>9</v>
      </c>
      <c r="Q111" s="1">
        <v>4</v>
      </c>
      <c r="R111" s="16">
        <v>5</v>
      </c>
      <c r="S111" s="16">
        <v>5</v>
      </c>
    </row>
    <row r="112" spans="1:19" x14ac:dyDescent="0.25">
      <c r="A112" s="14">
        <v>18900602</v>
      </c>
      <c r="B112" s="14">
        <v>189</v>
      </c>
      <c r="C112" s="1" t="s">
        <v>369</v>
      </c>
      <c r="D112" s="14">
        <v>2</v>
      </c>
      <c r="E112" s="1" t="s">
        <v>74</v>
      </c>
      <c r="F112" s="14" t="s">
        <v>99</v>
      </c>
      <c r="G112" s="14" t="s">
        <v>220</v>
      </c>
      <c r="H112" s="14" t="s">
        <v>221</v>
      </c>
      <c r="I112" s="14" t="s">
        <v>363</v>
      </c>
      <c r="J112" s="14" t="s">
        <v>360</v>
      </c>
      <c r="K112" s="1" t="s">
        <v>370</v>
      </c>
      <c r="L112" s="15">
        <v>45981</v>
      </c>
      <c r="M112" s="18">
        <v>23</v>
      </c>
      <c r="N112" s="14">
        <v>135</v>
      </c>
      <c r="O112" s="1">
        <v>135</v>
      </c>
      <c r="P112" s="1">
        <v>135</v>
      </c>
      <c r="Q112" s="1">
        <v>41</v>
      </c>
      <c r="R112" s="16">
        <v>6</v>
      </c>
      <c r="S112" s="16">
        <v>6</v>
      </c>
    </row>
    <row r="113" spans="1:19" x14ac:dyDescent="0.25">
      <c r="A113" s="14">
        <v>18900702</v>
      </c>
      <c r="B113" s="14">
        <v>189</v>
      </c>
      <c r="C113" s="1" t="s">
        <v>369</v>
      </c>
      <c r="D113" s="14">
        <v>2</v>
      </c>
      <c r="E113" s="1" t="s">
        <v>74</v>
      </c>
      <c r="F113" s="14" t="s">
        <v>100</v>
      </c>
      <c r="G113" s="14" t="s">
        <v>222</v>
      </c>
      <c r="H113" s="14" t="s">
        <v>223</v>
      </c>
      <c r="I113" s="14" t="s">
        <v>363</v>
      </c>
      <c r="J113" s="14" t="s">
        <v>360</v>
      </c>
      <c r="K113" s="1" t="s">
        <v>370</v>
      </c>
      <c r="L113" s="15">
        <v>45981</v>
      </c>
      <c r="M113" s="18">
        <v>27</v>
      </c>
      <c r="N113" s="14">
        <v>128</v>
      </c>
      <c r="O113" s="1">
        <v>128</v>
      </c>
      <c r="P113" s="1">
        <v>128</v>
      </c>
      <c r="Q113" s="1">
        <v>39</v>
      </c>
      <c r="R113" s="16">
        <v>7</v>
      </c>
      <c r="S113" s="16">
        <v>7</v>
      </c>
    </row>
    <row r="114" spans="1:19" x14ac:dyDescent="0.25">
      <c r="A114" s="14">
        <v>18900802</v>
      </c>
      <c r="B114" s="14">
        <v>189</v>
      </c>
      <c r="C114" s="1" t="s">
        <v>369</v>
      </c>
      <c r="D114" s="14">
        <v>2</v>
      </c>
      <c r="E114" s="1" t="s">
        <v>74</v>
      </c>
      <c r="F114" s="14" t="s">
        <v>101</v>
      </c>
      <c r="G114" s="14" t="s">
        <v>224</v>
      </c>
      <c r="H114" s="14" t="s">
        <v>225</v>
      </c>
      <c r="I114" s="14" t="s">
        <v>363</v>
      </c>
      <c r="J114" s="14" t="s">
        <v>360</v>
      </c>
      <c r="K114" s="1" t="s">
        <v>370</v>
      </c>
      <c r="L114" s="15">
        <v>45981</v>
      </c>
      <c r="M114" s="18">
        <v>92</v>
      </c>
      <c r="N114" s="14">
        <v>18</v>
      </c>
      <c r="O114" s="1">
        <v>18</v>
      </c>
      <c r="P114" s="1">
        <v>18</v>
      </c>
      <c r="Q114" s="1">
        <v>8</v>
      </c>
      <c r="R114" s="16">
        <v>8</v>
      </c>
      <c r="S114" s="16">
        <v>8</v>
      </c>
    </row>
    <row r="115" spans="1:19" x14ac:dyDescent="0.25">
      <c r="A115" s="14">
        <v>18900902</v>
      </c>
      <c r="B115" s="14">
        <v>189</v>
      </c>
      <c r="C115" s="1" t="s">
        <v>369</v>
      </c>
      <c r="D115" s="14">
        <v>2</v>
      </c>
      <c r="E115" s="1" t="s">
        <v>74</v>
      </c>
      <c r="F115" s="14" t="s">
        <v>102</v>
      </c>
      <c r="G115" s="14" t="s">
        <v>226</v>
      </c>
      <c r="H115" s="14" t="s">
        <v>227</v>
      </c>
      <c r="I115" s="14" t="s">
        <v>363</v>
      </c>
      <c r="J115" s="14" t="s">
        <v>360</v>
      </c>
      <c r="K115" s="1" t="s">
        <v>370</v>
      </c>
      <c r="L115" s="15">
        <v>45981</v>
      </c>
      <c r="M115" s="18">
        <v>40</v>
      </c>
      <c r="N115" s="14">
        <v>110</v>
      </c>
      <c r="O115" s="1">
        <v>110</v>
      </c>
      <c r="P115" s="1">
        <v>110</v>
      </c>
      <c r="Q115" s="1">
        <v>34</v>
      </c>
      <c r="R115" s="16">
        <v>9</v>
      </c>
      <c r="S115" s="16">
        <v>9</v>
      </c>
    </row>
    <row r="116" spans="1:19" x14ac:dyDescent="0.25">
      <c r="A116" s="14">
        <v>18901002</v>
      </c>
      <c r="B116" s="14">
        <v>189</v>
      </c>
      <c r="C116" s="1" t="s">
        <v>369</v>
      </c>
      <c r="D116" s="14">
        <v>2</v>
      </c>
      <c r="E116" s="1" t="s">
        <v>74</v>
      </c>
      <c r="F116" s="14" t="s">
        <v>103</v>
      </c>
      <c r="G116" s="14" t="s">
        <v>228</v>
      </c>
      <c r="H116" s="14" t="s">
        <v>229</v>
      </c>
      <c r="I116" s="14" t="s">
        <v>363</v>
      </c>
      <c r="J116" s="14" t="s">
        <v>360</v>
      </c>
      <c r="K116" s="1" t="s">
        <v>370</v>
      </c>
      <c r="L116" s="15">
        <v>45981</v>
      </c>
      <c r="M116" s="18">
        <v>20</v>
      </c>
      <c r="N116" s="14">
        <v>143</v>
      </c>
      <c r="O116" s="1">
        <v>143</v>
      </c>
      <c r="P116" s="1">
        <v>143</v>
      </c>
      <c r="Q116" s="1">
        <v>44</v>
      </c>
      <c r="R116" s="16">
        <v>10</v>
      </c>
      <c r="S116" s="16">
        <v>10</v>
      </c>
    </row>
    <row r="117" spans="1:19" x14ac:dyDescent="0.25">
      <c r="A117" s="14">
        <v>18901102</v>
      </c>
      <c r="B117" s="14">
        <v>189</v>
      </c>
      <c r="C117" s="1" t="s">
        <v>369</v>
      </c>
      <c r="D117" s="14">
        <v>2</v>
      </c>
      <c r="E117" s="1" t="s">
        <v>74</v>
      </c>
      <c r="F117" s="14" t="s">
        <v>104</v>
      </c>
      <c r="G117" s="14" t="s">
        <v>230</v>
      </c>
      <c r="H117" s="14" t="s">
        <v>231</v>
      </c>
      <c r="I117" s="14" t="s">
        <v>363</v>
      </c>
      <c r="J117" s="14" t="s">
        <v>360</v>
      </c>
      <c r="K117" s="1" t="s">
        <v>370</v>
      </c>
      <c r="L117" s="15">
        <v>45981</v>
      </c>
      <c r="M117" s="18">
        <v>56</v>
      </c>
      <c r="N117" s="14">
        <v>83</v>
      </c>
      <c r="O117" s="1">
        <v>83</v>
      </c>
      <c r="P117" s="1">
        <v>83</v>
      </c>
      <c r="Q117" s="1">
        <v>26</v>
      </c>
      <c r="R117" s="16">
        <v>11</v>
      </c>
      <c r="S117" s="16">
        <v>11</v>
      </c>
    </row>
    <row r="118" spans="1:19" x14ac:dyDescent="0.25">
      <c r="A118" s="14">
        <v>18901202</v>
      </c>
      <c r="B118" s="14">
        <v>189</v>
      </c>
      <c r="C118" s="1" t="s">
        <v>369</v>
      </c>
      <c r="D118" s="14">
        <v>2</v>
      </c>
      <c r="E118" s="1" t="s">
        <v>74</v>
      </c>
      <c r="F118" s="14" t="s">
        <v>105</v>
      </c>
      <c r="G118" s="14" t="s">
        <v>232</v>
      </c>
      <c r="H118" s="14" t="s">
        <v>233</v>
      </c>
      <c r="I118" s="14" t="s">
        <v>363</v>
      </c>
      <c r="J118" s="14" t="s">
        <v>360</v>
      </c>
      <c r="K118" s="1" t="s">
        <v>370</v>
      </c>
      <c r="L118" s="15">
        <v>45981</v>
      </c>
      <c r="M118" s="18">
        <v>86</v>
      </c>
      <c r="N118" s="14">
        <v>25</v>
      </c>
      <c r="O118" s="1">
        <v>25</v>
      </c>
      <c r="P118" s="1">
        <v>25</v>
      </c>
      <c r="Q118" s="1">
        <v>9</v>
      </c>
      <c r="R118" s="16">
        <v>12</v>
      </c>
      <c r="S118" s="16">
        <v>12</v>
      </c>
    </row>
    <row r="119" spans="1:19" x14ac:dyDescent="0.25">
      <c r="A119" s="14">
        <v>18901302</v>
      </c>
      <c r="B119" s="14">
        <v>189</v>
      </c>
      <c r="C119" s="1" t="s">
        <v>369</v>
      </c>
      <c r="D119" s="14">
        <v>2</v>
      </c>
      <c r="E119" s="1" t="s">
        <v>76</v>
      </c>
      <c r="F119" s="14" t="s">
        <v>106</v>
      </c>
      <c r="G119" s="14" t="s">
        <v>234</v>
      </c>
      <c r="H119" s="14" t="s">
        <v>235</v>
      </c>
      <c r="I119" s="14" t="s">
        <v>363</v>
      </c>
      <c r="J119" s="14" t="s">
        <v>360</v>
      </c>
      <c r="K119" s="1" t="s">
        <v>370</v>
      </c>
      <c r="L119" s="15">
        <v>45981</v>
      </c>
      <c r="M119" s="18">
        <v>45</v>
      </c>
      <c r="N119" s="14">
        <v>100</v>
      </c>
      <c r="O119" s="1">
        <v>100</v>
      </c>
      <c r="P119" s="1">
        <v>100</v>
      </c>
      <c r="Q119" s="1">
        <v>30</v>
      </c>
      <c r="R119" s="16">
        <v>13</v>
      </c>
      <c r="S119" s="16">
        <v>1</v>
      </c>
    </row>
    <row r="120" spans="1:19" x14ac:dyDescent="0.25">
      <c r="A120" s="14">
        <v>18901402</v>
      </c>
      <c r="B120" s="14">
        <v>189</v>
      </c>
      <c r="C120" s="1" t="s">
        <v>369</v>
      </c>
      <c r="D120" s="14">
        <v>2</v>
      </c>
      <c r="E120" s="1" t="s">
        <v>76</v>
      </c>
      <c r="F120" s="14" t="s">
        <v>107</v>
      </c>
      <c r="G120" s="14" t="s">
        <v>236</v>
      </c>
      <c r="H120" s="14" t="s">
        <v>237</v>
      </c>
      <c r="I120" s="14" t="s">
        <v>363</v>
      </c>
      <c r="J120" s="14" t="s">
        <v>360</v>
      </c>
      <c r="K120" s="1" t="s">
        <v>370</v>
      </c>
      <c r="L120" s="15">
        <v>45981</v>
      </c>
      <c r="M120" s="18">
        <v>78</v>
      </c>
      <c r="N120" s="14">
        <v>40</v>
      </c>
      <c r="O120" s="1">
        <v>40</v>
      </c>
      <c r="P120" s="1">
        <v>40</v>
      </c>
      <c r="Q120" s="1">
        <v>14</v>
      </c>
      <c r="R120" s="16">
        <v>14</v>
      </c>
      <c r="S120" s="16">
        <v>2</v>
      </c>
    </row>
    <row r="121" spans="1:19" x14ac:dyDescent="0.25">
      <c r="A121" s="14">
        <v>18901502</v>
      </c>
      <c r="B121" s="14">
        <v>189</v>
      </c>
      <c r="C121" s="1" t="s">
        <v>369</v>
      </c>
      <c r="D121" s="14">
        <v>2</v>
      </c>
      <c r="E121" s="1" t="s">
        <v>76</v>
      </c>
      <c r="F121" s="14" t="s">
        <v>108</v>
      </c>
      <c r="G121" s="14" t="s">
        <v>238</v>
      </c>
      <c r="H121" s="14" t="s">
        <v>211</v>
      </c>
      <c r="I121" s="14" t="s">
        <v>363</v>
      </c>
      <c r="J121" s="14" t="s">
        <v>360</v>
      </c>
      <c r="K121" s="1" t="s">
        <v>370</v>
      </c>
      <c r="L121" s="15">
        <v>45981</v>
      </c>
      <c r="M121" s="18">
        <v>28</v>
      </c>
      <c r="N121" s="14">
        <v>126</v>
      </c>
      <c r="O121" s="1">
        <v>126</v>
      </c>
      <c r="P121" s="1">
        <v>126</v>
      </c>
      <c r="Q121" s="1">
        <v>38</v>
      </c>
      <c r="R121" s="16">
        <v>15</v>
      </c>
      <c r="S121" s="16">
        <v>3</v>
      </c>
    </row>
    <row r="122" spans="1:19" x14ac:dyDescent="0.25">
      <c r="A122" s="14">
        <v>18901602</v>
      </c>
      <c r="B122" s="14">
        <v>189</v>
      </c>
      <c r="C122" s="1" t="s">
        <v>369</v>
      </c>
      <c r="D122" s="14">
        <v>2</v>
      </c>
      <c r="E122" s="1" t="s">
        <v>76</v>
      </c>
      <c r="F122" s="14" t="s">
        <v>109</v>
      </c>
      <c r="G122" s="14" t="s">
        <v>239</v>
      </c>
      <c r="H122" s="14" t="s">
        <v>240</v>
      </c>
      <c r="I122" s="14" t="s">
        <v>363</v>
      </c>
      <c r="J122" s="14" t="s">
        <v>360</v>
      </c>
      <c r="K122" s="1" t="s">
        <v>370</v>
      </c>
      <c r="L122" s="15">
        <v>45981</v>
      </c>
      <c r="M122" s="18">
        <v>62</v>
      </c>
      <c r="N122" s="14">
        <v>73</v>
      </c>
      <c r="O122" s="1">
        <v>73</v>
      </c>
      <c r="P122" s="1">
        <v>73</v>
      </c>
      <c r="Q122" s="1">
        <v>25</v>
      </c>
      <c r="R122" s="16">
        <v>16</v>
      </c>
      <c r="S122" s="16">
        <v>4</v>
      </c>
    </row>
    <row r="123" spans="1:19" x14ac:dyDescent="0.25">
      <c r="A123" s="14">
        <v>18900103</v>
      </c>
      <c r="B123" s="14">
        <v>189</v>
      </c>
      <c r="C123" s="1" t="s">
        <v>369</v>
      </c>
      <c r="D123" s="14">
        <v>3</v>
      </c>
      <c r="E123" s="1" t="s">
        <v>74</v>
      </c>
      <c r="F123" s="14" t="s">
        <v>110</v>
      </c>
      <c r="G123" s="14" t="s">
        <v>241</v>
      </c>
      <c r="H123" s="14" t="s">
        <v>242</v>
      </c>
      <c r="I123" s="14" t="s">
        <v>363</v>
      </c>
      <c r="J123" s="14" t="s">
        <v>360</v>
      </c>
      <c r="K123" s="1" t="s">
        <v>370</v>
      </c>
      <c r="L123" s="15">
        <v>45981</v>
      </c>
      <c r="M123" s="18">
        <v>46</v>
      </c>
      <c r="N123" s="14">
        <v>99</v>
      </c>
      <c r="O123" s="1">
        <v>99</v>
      </c>
      <c r="P123" s="1">
        <v>99</v>
      </c>
      <c r="Q123" s="1">
        <v>29</v>
      </c>
      <c r="R123" s="16">
        <v>1</v>
      </c>
      <c r="S123" s="16">
        <v>1</v>
      </c>
    </row>
    <row r="124" spans="1:19" x14ac:dyDescent="0.25">
      <c r="A124" s="14">
        <v>18900203</v>
      </c>
      <c r="B124" s="14">
        <v>189</v>
      </c>
      <c r="C124" s="1" t="s">
        <v>369</v>
      </c>
      <c r="D124" s="14">
        <v>3</v>
      </c>
      <c r="E124" s="1" t="s">
        <v>74</v>
      </c>
      <c r="F124" s="14" t="s">
        <v>111</v>
      </c>
      <c r="G124" s="14" t="s">
        <v>243</v>
      </c>
      <c r="H124" s="14" t="s">
        <v>244</v>
      </c>
      <c r="I124" s="14" t="s">
        <v>363</v>
      </c>
      <c r="J124" s="14" t="s">
        <v>360</v>
      </c>
      <c r="K124" s="1" t="s">
        <v>370</v>
      </c>
      <c r="L124" s="15">
        <v>45981</v>
      </c>
      <c r="M124" s="18">
        <v>95</v>
      </c>
      <c r="N124" s="14">
        <v>11</v>
      </c>
      <c r="O124" s="1">
        <v>11</v>
      </c>
      <c r="P124" s="1">
        <v>11</v>
      </c>
      <c r="Q124" s="1">
        <v>5</v>
      </c>
      <c r="R124" s="16">
        <v>2</v>
      </c>
      <c r="S124" s="16">
        <v>2</v>
      </c>
    </row>
    <row r="125" spans="1:19" x14ac:dyDescent="0.25">
      <c r="A125" s="14">
        <v>18900303</v>
      </c>
      <c r="B125" s="14">
        <v>189</v>
      </c>
      <c r="C125" s="1" t="s">
        <v>369</v>
      </c>
      <c r="D125" s="14">
        <v>3</v>
      </c>
      <c r="E125" s="1" t="s">
        <v>74</v>
      </c>
      <c r="F125" s="14" t="s">
        <v>112</v>
      </c>
      <c r="G125" s="14" t="s">
        <v>245</v>
      </c>
      <c r="H125" s="14" t="s">
        <v>246</v>
      </c>
      <c r="I125" s="14" t="s">
        <v>363</v>
      </c>
      <c r="J125" s="14" t="s">
        <v>360</v>
      </c>
      <c r="K125" s="1" t="s">
        <v>370</v>
      </c>
      <c r="L125" s="15">
        <v>45981</v>
      </c>
      <c r="M125" s="18">
        <v>21</v>
      </c>
      <c r="N125" s="14">
        <v>138</v>
      </c>
      <c r="O125" s="1">
        <v>138</v>
      </c>
      <c r="P125" s="1">
        <v>138</v>
      </c>
      <c r="Q125" s="1">
        <v>42</v>
      </c>
      <c r="R125" s="16">
        <v>3</v>
      </c>
      <c r="S125" s="16">
        <v>3</v>
      </c>
    </row>
    <row r="126" spans="1:19" x14ac:dyDescent="0.25">
      <c r="A126" s="14">
        <v>18900403</v>
      </c>
      <c r="B126" s="14">
        <v>189</v>
      </c>
      <c r="C126" s="1" t="s">
        <v>369</v>
      </c>
      <c r="D126" s="14">
        <v>3</v>
      </c>
      <c r="E126" s="1" t="s">
        <v>74</v>
      </c>
      <c r="F126" s="14" t="s">
        <v>113</v>
      </c>
      <c r="G126" s="14" t="s">
        <v>247</v>
      </c>
      <c r="H126" s="14" t="s">
        <v>248</v>
      </c>
      <c r="I126" s="14" t="s">
        <v>363</v>
      </c>
      <c r="J126" s="14" t="s">
        <v>360</v>
      </c>
      <c r="K126" s="1" t="s">
        <v>370</v>
      </c>
      <c r="L126" s="15">
        <v>45981</v>
      </c>
      <c r="M126" s="18">
        <v>42</v>
      </c>
      <c r="N126" s="14">
        <v>106</v>
      </c>
      <c r="O126" s="1">
        <v>106</v>
      </c>
      <c r="P126" s="1">
        <v>106</v>
      </c>
      <c r="Q126" s="1">
        <v>32</v>
      </c>
      <c r="R126" s="16">
        <v>4</v>
      </c>
      <c r="S126" s="16">
        <v>4</v>
      </c>
    </row>
    <row r="127" spans="1:19" x14ac:dyDescent="0.25">
      <c r="A127" s="14">
        <v>18900503</v>
      </c>
      <c r="B127" s="14">
        <v>189</v>
      </c>
      <c r="C127" s="1" t="s">
        <v>369</v>
      </c>
      <c r="D127" s="14">
        <v>3</v>
      </c>
      <c r="E127" s="1" t="s">
        <v>74</v>
      </c>
      <c r="F127" s="14" t="s">
        <v>114</v>
      </c>
      <c r="G127" s="14" t="s">
        <v>249</v>
      </c>
      <c r="H127" s="14" t="s">
        <v>250</v>
      </c>
      <c r="I127" s="14" t="s">
        <v>363</v>
      </c>
      <c r="J127" s="14" t="s">
        <v>360</v>
      </c>
      <c r="K127" s="1" t="s">
        <v>370</v>
      </c>
      <c r="L127" s="15">
        <v>45981</v>
      </c>
      <c r="M127" s="18">
        <v>24</v>
      </c>
      <c r="N127" s="14">
        <v>133</v>
      </c>
      <c r="O127" s="1">
        <v>133</v>
      </c>
      <c r="P127" s="1">
        <v>133</v>
      </c>
      <c r="Q127" s="1">
        <v>40</v>
      </c>
      <c r="R127" s="16">
        <v>5</v>
      </c>
      <c r="S127" s="16">
        <v>5</v>
      </c>
    </row>
    <row r="128" spans="1:19" x14ac:dyDescent="0.25">
      <c r="A128" s="14">
        <v>18900603</v>
      </c>
      <c r="B128" s="14">
        <v>189</v>
      </c>
      <c r="C128" s="1" t="s">
        <v>369</v>
      </c>
      <c r="D128" s="14">
        <v>3</v>
      </c>
      <c r="E128" s="1" t="s">
        <v>74</v>
      </c>
      <c r="F128" s="14" t="s">
        <v>115</v>
      </c>
      <c r="G128" s="14" t="s">
        <v>251</v>
      </c>
      <c r="H128" s="14" t="s">
        <v>252</v>
      </c>
      <c r="I128" s="14" t="s">
        <v>363</v>
      </c>
      <c r="J128" s="14" t="s">
        <v>360</v>
      </c>
      <c r="K128" s="1" t="s">
        <v>370</v>
      </c>
      <c r="L128" s="15">
        <v>45981</v>
      </c>
      <c r="M128" s="18">
        <v>64</v>
      </c>
      <c r="N128" s="14">
        <v>67</v>
      </c>
      <c r="O128" s="1">
        <v>67</v>
      </c>
      <c r="P128" s="1">
        <v>67</v>
      </c>
      <c r="Q128" s="1">
        <v>23</v>
      </c>
      <c r="R128" s="16">
        <v>6</v>
      </c>
      <c r="S128" s="16">
        <v>6</v>
      </c>
    </row>
    <row r="129" spans="1:19" x14ac:dyDescent="0.25">
      <c r="A129" s="14">
        <v>18900703</v>
      </c>
      <c r="B129" s="14">
        <v>189</v>
      </c>
      <c r="C129" s="1" t="s">
        <v>369</v>
      </c>
      <c r="D129" s="14">
        <v>3</v>
      </c>
      <c r="E129" s="1" t="s">
        <v>74</v>
      </c>
      <c r="F129" s="14" t="s">
        <v>116</v>
      </c>
      <c r="G129" s="14" t="s">
        <v>253</v>
      </c>
      <c r="H129" s="14" t="s">
        <v>254</v>
      </c>
      <c r="I129" s="14" t="s">
        <v>363</v>
      </c>
      <c r="J129" s="14" t="s">
        <v>360</v>
      </c>
      <c r="K129" s="1" t="s">
        <v>370</v>
      </c>
      <c r="L129" s="15">
        <v>45981</v>
      </c>
      <c r="M129" s="18">
        <v>99</v>
      </c>
      <c r="N129" s="14">
        <v>1</v>
      </c>
      <c r="O129" s="1">
        <v>1</v>
      </c>
      <c r="P129" s="1">
        <v>1</v>
      </c>
      <c r="Q129" s="1">
        <v>1</v>
      </c>
      <c r="R129" s="16">
        <v>7</v>
      </c>
      <c r="S129" s="16">
        <v>7</v>
      </c>
    </row>
    <row r="130" spans="1:19" x14ac:dyDescent="0.25">
      <c r="A130" s="14">
        <v>18900803</v>
      </c>
      <c r="B130" s="14">
        <v>189</v>
      </c>
      <c r="C130" s="1" t="s">
        <v>369</v>
      </c>
      <c r="D130" s="14">
        <v>3</v>
      </c>
      <c r="E130" s="1" t="s">
        <v>74</v>
      </c>
      <c r="F130" s="14" t="s">
        <v>117</v>
      </c>
      <c r="G130" s="14" t="s">
        <v>255</v>
      </c>
      <c r="H130" s="14" t="s">
        <v>256</v>
      </c>
      <c r="I130" s="14" t="s">
        <v>363</v>
      </c>
      <c r="J130" s="14" t="s">
        <v>360</v>
      </c>
      <c r="K130" s="1" t="s">
        <v>370</v>
      </c>
      <c r="L130" s="15">
        <v>45981</v>
      </c>
      <c r="M130" s="18">
        <v>69</v>
      </c>
      <c r="N130" s="14">
        <v>57</v>
      </c>
      <c r="O130" s="1">
        <v>57</v>
      </c>
      <c r="P130" s="1">
        <v>57</v>
      </c>
      <c r="Q130" s="1">
        <v>20</v>
      </c>
      <c r="R130" s="16">
        <v>8</v>
      </c>
      <c r="S130" s="16">
        <v>8</v>
      </c>
    </row>
    <row r="131" spans="1:19" x14ac:dyDescent="0.25">
      <c r="A131" s="14">
        <v>18900903</v>
      </c>
      <c r="B131" s="14">
        <v>189</v>
      </c>
      <c r="C131" s="1" t="s">
        <v>369</v>
      </c>
      <c r="D131" s="14">
        <v>3</v>
      </c>
      <c r="E131" s="1" t="s">
        <v>74</v>
      </c>
      <c r="F131" s="14" t="s">
        <v>118</v>
      </c>
      <c r="G131" s="14" t="s">
        <v>257</v>
      </c>
      <c r="H131" s="14" t="s">
        <v>258</v>
      </c>
      <c r="I131" s="14" t="s">
        <v>363</v>
      </c>
      <c r="J131" s="14" t="s">
        <v>360</v>
      </c>
      <c r="K131" s="1" t="s">
        <v>370</v>
      </c>
      <c r="L131" s="15">
        <v>45981</v>
      </c>
      <c r="M131" s="18">
        <v>35</v>
      </c>
      <c r="N131" s="14">
        <v>117</v>
      </c>
      <c r="O131" s="1">
        <v>117</v>
      </c>
      <c r="P131" s="1">
        <v>117</v>
      </c>
      <c r="Q131" s="1">
        <v>36</v>
      </c>
      <c r="R131" s="16">
        <v>9</v>
      </c>
      <c r="S131" s="16">
        <v>9</v>
      </c>
    </row>
    <row r="132" spans="1:19" x14ac:dyDescent="0.25">
      <c r="A132" s="14">
        <v>18901003</v>
      </c>
      <c r="B132" s="14">
        <v>189</v>
      </c>
      <c r="C132" s="1" t="s">
        <v>369</v>
      </c>
      <c r="D132" s="14">
        <v>3</v>
      </c>
      <c r="E132" s="1" t="s">
        <v>74</v>
      </c>
      <c r="F132" s="14" t="s">
        <v>119</v>
      </c>
      <c r="G132" s="14" t="s">
        <v>259</v>
      </c>
      <c r="H132" s="14" t="s">
        <v>260</v>
      </c>
      <c r="I132" s="14" t="s">
        <v>363</v>
      </c>
      <c r="J132" s="14" t="s">
        <v>360</v>
      </c>
      <c r="K132" s="1" t="s">
        <v>370</v>
      </c>
      <c r="L132" s="15">
        <v>45981</v>
      </c>
      <c r="M132" s="18">
        <v>35</v>
      </c>
      <c r="N132" s="14">
        <v>117</v>
      </c>
      <c r="O132" s="1">
        <v>117</v>
      </c>
      <c r="P132" s="1">
        <v>117</v>
      </c>
      <c r="Q132" s="1">
        <v>36</v>
      </c>
      <c r="R132" s="16">
        <v>10</v>
      </c>
      <c r="S132" s="16">
        <v>10</v>
      </c>
    </row>
    <row r="133" spans="1:19" x14ac:dyDescent="0.25">
      <c r="A133" s="14">
        <v>18901103</v>
      </c>
      <c r="B133" s="14">
        <v>189</v>
      </c>
      <c r="C133" s="1" t="s">
        <v>369</v>
      </c>
      <c r="D133" s="14">
        <v>3</v>
      </c>
      <c r="E133" s="1" t="s">
        <v>74</v>
      </c>
      <c r="F133" s="14" t="s">
        <v>120</v>
      </c>
      <c r="G133" s="14" t="s">
        <v>261</v>
      </c>
      <c r="H133" s="14" t="s">
        <v>262</v>
      </c>
      <c r="I133" s="14" t="s">
        <v>363</v>
      </c>
      <c r="J133" s="14" t="s">
        <v>360</v>
      </c>
      <c r="K133" s="1" t="s">
        <v>370</v>
      </c>
      <c r="L133" s="15">
        <v>45981</v>
      </c>
      <c r="M133" s="18">
        <v>55</v>
      </c>
      <c r="N133" s="14">
        <v>84</v>
      </c>
      <c r="O133" s="1">
        <v>84</v>
      </c>
      <c r="P133" s="1">
        <v>84</v>
      </c>
      <c r="Q133" s="1">
        <v>27</v>
      </c>
      <c r="R133" s="16">
        <v>11</v>
      </c>
      <c r="S133" s="16">
        <v>11</v>
      </c>
    </row>
    <row r="134" spans="1:19" x14ac:dyDescent="0.25">
      <c r="A134" s="14">
        <v>18901203</v>
      </c>
      <c r="B134" s="14">
        <v>189</v>
      </c>
      <c r="C134" s="1" t="s">
        <v>369</v>
      </c>
      <c r="D134" s="14">
        <v>3</v>
      </c>
      <c r="E134" s="1" t="s">
        <v>74</v>
      </c>
      <c r="F134" s="14" t="s">
        <v>121</v>
      </c>
      <c r="G134" s="14" t="s">
        <v>263</v>
      </c>
      <c r="H134" s="14" t="s">
        <v>264</v>
      </c>
      <c r="I134" s="14" t="s">
        <v>363</v>
      </c>
      <c r="J134" s="14" t="s">
        <v>360</v>
      </c>
      <c r="K134" s="1" t="s">
        <v>370</v>
      </c>
      <c r="L134" s="15">
        <v>45981</v>
      </c>
      <c r="M134" s="18">
        <v>82</v>
      </c>
      <c r="N134" s="14">
        <v>32</v>
      </c>
      <c r="O134" s="1">
        <v>32</v>
      </c>
      <c r="P134" s="1">
        <v>32</v>
      </c>
      <c r="Q134" s="1">
        <v>12</v>
      </c>
      <c r="R134" s="16">
        <v>12</v>
      </c>
      <c r="S134" s="16">
        <v>12</v>
      </c>
    </row>
    <row r="135" spans="1:19" x14ac:dyDescent="0.25">
      <c r="A135" s="14">
        <v>18901303</v>
      </c>
      <c r="B135" s="14">
        <v>189</v>
      </c>
      <c r="C135" s="1" t="s">
        <v>369</v>
      </c>
      <c r="D135" s="14">
        <v>3</v>
      </c>
      <c r="E135" s="1" t="s">
        <v>74</v>
      </c>
      <c r="F135" s="14" t="s">
        <v>122</v>
      </c>
      <c r="G135" s="14" t="s">
        <v>265</v>
      </c>
      <c r="H135" s="14" t="s">
        <v>266</v>
      </c>
      <c r="I135" s="14" t="s">
        <v>363</v>
      </c>
      <c r="J135" s="14" t="s">
        <v>360</v>
      </c>
      <c r="K135" s="1" t="s">
        <v>370</v>
      </c>
      <c r="L135" s="15">
        <v>45981</v>
      </c>
      <c r="M135" s="18">
        <v>78</v>
      </c>
      <c r="N135" s="14">
        <v>40</v>
      </c>
      <c r="O135" s="1">
        <v>40</v>
      </c>
      <c r="P135" s="1">
        <v>40</v>
      </c>
      <c r="Q135" s="1">
        <v>14</v>
      </c>
      <c r="R135" s="16">
        <v>13</v>
      </c>
      <c r="S135" s="16">
        <v>13</v>
      </c>
    </row>
    <row r="136" spans="1:19" x14ac:dyDescent="0.25">
      <c r="A136" s="14">
        <v>18901403</v>
      </c>
      <c r="B136" s="14">
        <v>189</v>
      </c>
      <c r="C136" s="1" t="s">
        <v>369</v>
      </c>
      <c r="D136" s="14">
        <v>3</v>
      </c>
      <c r="E136" s="1" t="s">
        <v>74</v>
      </c>
      <c r="F136" s="14" t="s">
        <v>123</v>
      </c>
      <c r="G136" s="14" t="s">
        <v>267</v>
      </c>
      <c r="H136" s="14" t="s">
        <v>213</v>
      </c>
      <c r="I136" s="14" t="s">
        <v>363</v>
      </c>
      <c r="J136" s="14" t="s">
        <v>360</v>
      </c>
      <c r="K136" s="1" t="s">
        <v>370</v>
      </c>
      <c r="L136" s="15">
        <v>45981</v>
      </c>
      <c r="M136" s="18">
        <v>80</v>
      </c>
      <c r="N136" s="14">
        <v>35</v>
      </c>
      <c r="O136" s="1">
        <v>35</v>
      </c>
      <c r="P136" s="1">
        <v>35</v>
      </c>
      <c r="Q136" s="1">
        <v>13</v>
      </c>
      <c r="R136" s="16">
        <v>14</v>
      </c>
      <c r="S136" s="16">
        <v>14</v>
      </c>
    </row>
    <row r="137" spans="1:19" x14ac:dyDescent="0.25">
      <c r="A137" s="14">
        <v>18901503</v>
      </c>
      <c r="B137" s="14">
        <v>189</v>
      </c>
      <c r="C137" s="1" t="s">
        <v>369</v>
      </c>
      <c r="D137" s="14">
        <v>3</v>
      </c>
      <c r="E137" s="1" t="s">
        <v>74</v>
      </c>
      <c r="F137" s="14" t="s">
        <v>124</v>
      </c>
      <c r="G137" s="14" t="s">
        <v>268</v>
      </c>
      <c r="H137" s="14" t="s">
        <v>269</v>
      </c>
      <c r="I137" s="14" t="s">
        <v>363</v>
      </c>
      <c r="J137" s="14" t="s">
        <v>360</v>
      </c>
      <c r="K137" s="1" t="s">
        <v>370</v>
      </c>
      <c r="L137" s="15">
        <v>45981</v>
      </c>
      <c r="M137" s="18">
        <v>63</v>
      </c>
      <c r="N137" s="14">
        <v>69</v>
      </c>
      <c r="O137" s="1">
        <v>69</v>
      </c>
      <c r="P137" s="1">
        <v>69</v>
      </c>
      <c r="Q137" s="1">
        <v>24</v>
      </c>
      <c r="R137" s="16">
        <v>15</v>
      </c>
      <c r="S137" s="16">
        <v>15</v>
      </c>
    </row>
    <row r="138" spans="1:19" x14ac:dyDescent="0.25">
      <c r="A138" s="14">
        <v>18900104</v>
      </c>
      <c r="B138" s="14">
        <v>189</v>
      </c>
      <c r="C138" s="1" t="s">
        <v>369</v>
      </c>
      <c r="D138" s="14">
        <v>4</v>
      </c>
      <c r="E138" s="1" t="s">
        <v>74</v>
      </c>
      <c r="F138" s="14" t="s">
        <v>125</v>
      </c>
      <c r="G138" s="14" t="s">
        <v>270</v>
      </c>
      <c r="H138" s="14" t="s">
        <v>271</v>
      </c>
      <c r="I138" s="14" t="s">
        <v>363</v>
      </c>
      <c r="J138" s="14" t="s">
        <v>360</v>
      </c>
      <c r="K138" s="1" t="s">
        <v>370</v>
      </c>
      <c r="L138" s="15">
        <v>45981</v>
      </c>
      <c r="M138" s="18">
        <v>73</v>
      </c>
      <c r="N138" s="14">
        <v>50</v>
      </c>
      <c r="O138" s="1">
        <v>50</v>
      </c>
      <c r="P138" s="1">
        <v>50</v>
      </c>
      <c r="Q138" s="1">
        <v>17</v>
      </c>
      <c r="R138" s="16">
        <v>1</v>
      </c>
      <c r="S138" s="16">
        <v>1</v>
      </c>
    </row>
    <row r="139" spans="1:19" x14ac:dyDescent="0.25">
      <c r="A139" s="14">
        <v>18900204</v>
      </c>
      <c r="B139" s="14">
        <v>189</v>
      </c>
      <c r="C139" s="1" t="s">
        <v>369</v>
      </c>
      <c r="D139" s="14">
        <v>4</v>
      </c>
      <c r="E139" s="1" t="s">
        <v>74</v>
      </c>
      <c r="F139" s="14" t="s">
        <v>126</v>
      </c>
      <c r="G139" s="14" t="s">
        <v>272</v>
      </c>
      <c r="H139" s="14" t="s">
        <v>273</v>
      </c>
      <c r="I139" s="14" t="s">
        <v>363</v>
      </c>
      <c r="J139" s="14" t="s">
        <v>360</v>
      </c>
      <c r="K139" s="1" t="s">
        <v>370</v>
      </c>
      <c r="L139" s="15">
        <v>45981</v>
      </c>
      <c r="M139" s="18">
        <v>54</v>
      </c>
      <c r="N139" s="14">
        <v>88</v>
      </c>
      <c r="O139" s="1">
        <v>88</v>
      </c>
      <c r="P139" s="1">
        <v>88</v>
      </c>
      <c r="Q139" s="1">
        <v>28</v>
      </c>
      <c r="R139" s="16">
        <v>2</v>
      </c>
      <c r="S139" s="16">
        <v>2</v>
      </c>
    </row>
    <row r="140" spans="1:19" x14ac:dyDescent="0.25">
      <c r="A140" s="14">
        <v>18900304</v>
      </c>
      <c r="B140" s="14">
        <v>189</v>
      </c>
      <c r="C140" s="1" t="s">
        <v>369</v>
      </c>
      <c r="D140" s="14">
        <v>4</v>
      </c>
      <c r="E140" s="1" t="s">
        <v>74</v>
      </c>
      <c r="F140" s="14" t="s">
        <v>127</v>
      </c>
      <c r="G140" s="14" t="s">
        <v>274</v>
      </c>
      <c r="H140" s="14" t="s">
        <v>275</v>
      </c>
      <c r="I140" s="14" t="s">
        <v>363</v>
      </c>
      <c r="J140" s="14" t="s">
        <v>360</v>
      </c>
      <c r="K140" s="1" t="s">
        <v>370</v>
      </c>
      <c r="L140" s="15">
        <v>45981</v>
      </c>
      <c r="M140" s="18">
        <v>44</v>
      </c>
      <c r="N140" s="14">
        <v>104</v>
      </c>
      <c r="O140" s="1">
        <v>104</v>
      </c>
      <c r="P140" s="1">
        <v>104</v>
      </c>
      <c r="Q140" s="1">
        <v>31</v>
      </c>
      <c r="R140" s="16">
        <v>3</v>
      </c>
      <c r="S140" s="16">
        <v>3</v>
      </c>
    </row>
    <row r="141" spans="1:19" x14ac:dyDescent="0.25">
      <c r="A141" s="14">
        <v>18900404</v>
      </c>
      <c r="B141" s="14">
        <v>189</v>
      </c>
      <c r="C141" s="1" t="s">
        <v>369</v>
      </c>
      <c r="D141" s="14">
        <v>4</v>
      </c>
      <c r="E141" s="1" t="s">
        <v>74</v>
      </c>
      <c r="F141" s="14" t="s">
        <v>128</v>
      </c>
      <c r="G141" s="14" t="s">
        <v>276</v>
      </c>
      <c r="H141" s="14" t="s">
        <v>277</v>
      </c>
      <c r="I141" s="14" t="s">
        <v>363</v>
      </c>
      <c r="J141" s="14" t="s">
        <v>360</v>
      </c>
      <c r="K141" s="1" t="s">
        <v>370</v>
      </c>
      <c r="L141" s="15">
        <v>45981</v>
      </c>
      <c r="M141" s="18">
        <v>71</v>
      </c>
      <c r="N141" s="14">
        <v>53</v>
      </c>
      <c r="O141" s="1">
        <v>53</v>
      </c>
      <c r="P141" s="1">
        <v>53</v>
      </c>
      <c r="Q141" s="1">
        <v>19</v>
      </c>
      <c r="R141" s="16">
        <v>4</v>
      </c>
      <c r="S141" s="16">
        <v>4</v>
      </c>
    </row>
    <row r="142" spans="1:19" x14ac:dyDescent="0.25">
      <c r="A142" s="14">
        <v>18900504</v>
      </c>
      <c r="B142" s="14">
        <v>189</v>
      </c>
      <c r="C142" s="1" t="s">
        <v>369</v>
      </c>
      <c r="D142" s="14">
        <v>4</v>
      </c>
      <c r="E142" s="1" t="s">
        <v>74</v>
      </c>
      <c r="F142" s="14" t="s">
        <v>129</v>
      </c>
      <c r="G142" s="14" t="s">
        <v>278</v>
      </c>
      <c r="H142" s="14" t="s">
        <v>279</v>
      </c>
      <c r="I142" s="14" t="s">
        <v>363</v>
      </c>
      <c r="J142" s="14" t="s">
        <v>360</v>
      </c>
      <c r="K142" s="1" t="s">
        <v>370</v>
      </c>
      <c r="L142" s="15">
        <v>45981</v>
      </c>
      <c r="M142" s="18">
        <v>67</v>
      </c>
      <c r="N142" s="14">
        <v>62</v>
      </c>
      <c r="O142" s="1">
        <v>62</v>
      </c>
      <c r="P142" s="1">
        <v>62</v>
      </c>
      <c r="Q142" s="1">
        <v>22</v>
      </c>
      <c r="R142" s="16">
        <v>5</v>
      </c>
      <c r="S142" s="16">
        <v>5</v>
      </c>
    </row>
    <row r="143" spans="1:19" x14ac:dyDescent="0.25">
      <c r="A143" s="14">
        <v>18900604</v>
      </c>
      <c r="B143" s="14">
        <v>189</v>
      </c>
      <c r="C143" s="1" t="s">
        <v>369</v>
      </c>
      <c r="D143" s="14">
        <v>4</v>
      </c>
      <c r="E143" s="1" t="s">
        <v>74</v>
      </c>
      <c r="F143" s="14" t="s">
        <v>130</v>
      </c>
      <c r="G143" s="14" t="s">
        <v>280</v>
      </c>
      <c r="H143" s="14" t="s">
        <v>281</v>
      </c>
      <c r="I143" s="14" t="s">
        <v>363</v>
      </c>
      <c r="J143" s="14" t="s">
        <v>360</v>
      </c>
      <c r="K143" s="1" t="s">
        <v>370</v>
      </c>
      <c r="L143" s="15">
        <v>45981</v>
      </c>
      <c r="M143" s="18">
        <v>84</v>
      </c>
      <c r="N143" s="14">
        <v>27</v>
      </c>
      <c r="O143" s="1">
        <v>27</v>
      </c>
      <c r="P143" s="1">
        <v>27</v>
      </c>
      <c r="Q143" s="1">
        <v>10</v>
      </c>
      <c r="R143" s="16">
        <v>6</v>
      </c>
      <c r="S143" s="16">
        <v>6</v>
      </c>
    </row>
    <row r="144" spans="1:19" x14ac:dyDescent="0.25">
      <c r="A144" s="14">
        <v>18900704</v>
      </c>
      <c r="B144" s="14">
        <v>189</v>
      </c>
      <c r="C144" s="1" t="s">
        <v>369</v>
      </c>
      <c r="D144" s="14">
        <v>4</v>
      </c>
      <c r="E144" s="1" t="s">
        <v>74</v>
      </c>
      <c r="F144" s="14" t="s">
        <v>131</v>
      </c>
      <c r="G144" s="14" t="s">
        <v>282</v>
      </c>
      <c r="H144" s="14" t="s">
        <v>283</v>
      </c>
      <c r="I144" s="14" t="s">
        <v>363</v>
      </c>
      <c r="J144" s="14" t="s">
        <v>360</v>
      </c>
      <c r="K144" s="1" t="s">
        <v>370</v>
      </c>
      <c r="L144" s="15">
        <v>45981</v>
      </c>
      <c r="M144" s="18">
        <v>68</v>
      </c>
      <c r="N144" s="14">
        <v>60</v>
      </c>
      <c r="O144" s="1">
        <v>60</v>
      </c>
      <c r="P144" s="1">
        <v>60</v>
      </c>
      <c r="Q144" s="1">
        <v>21</v>
      </c>
      <c r="R144" s="16">
        <v>7</v>
      </c>
      <c r="S144" s="16">
        <v>7</v>
      </c>
    </row>
    <row r="145" spans="1:19" x14ac:dyDescent="0.25">
      <c r="A145" s="14">
        <v>18900804</v>
      </c>
      <c r="B145" s="14">
        <v>189</v>
      </c>
      <c r="C145" s="1" t="s">
        <v>369</v>
      </c>
      <c r="D145" s="14">
        <v>4</v>
      </c>
      <c r="E145" s="1" t="s">
        <v>74</v>
      </c>
      <c r="F145" s="14" t="s">
        <v>132</v>
      </c>
      <c r="G145" s="14" t="s">
        <v>263</v>
      </c>
      <c r="H145" s="14" t="s">
        <v>284</v>
      </c>
      <c r="I145" s="14" t="s">
        <v>363</v>
      </c>
      <c r="J145" s="14" t="s">
        <v>360</v>
      </c>
      <c r="K145" s="1" t="s">
        <v>370</v>
      </c>
      <c r="L145" s="15">
        <v>45981</v>
      </c>
      <c r="M145" s="18">
        <v>95</v>
      </c>
      <c r="N145" s="14">
        <v>11</v>
      </c>
      <c r="O145" s="1">
        <v>11</v>
      </c>
      <c r="P145" s="1">
        <v>11</v>
      </c>
      <c r="Q145" s="1">
        <v>5</v>
      </c>
      <c r="R145" s="16">
        <v>8</v>
      </c>
      <c r="S145" s="16">
        <v>8</v>
      </c>
    </row>
    <row r="146" spans="1:19" x14ac:dyDescent="0.25">
      <c r="A146" s="14">
        <v>18900904</v>
      </c>
      <c r="B146" s="14">
        <v>189</v>
      </c>
      <c r="C146" s="1" t="s">
        <v>369</v>
      </c>
      <c r="D146" s="14">
        <v>4</v>
      </c>
      <c r="E146" s="1" t="s">
        <v>74</v>
      </c>
      <c r="F146" s="14" t="s">
        <v>133</v>
      </c>
      <c r="G146" s="14" t="s">
        <v>285</v>
      </c>
      <c r="H146" s="14" t="s">
        <v>286</v>
      </c>
      <c r="I146" s="14" t="s">
        <v>363</v>
      </c>
      <c r="J146" s="14" t="s">
        <v>360</v>
      </c>
      <c r="K146" s="1" t="s">
        <v>370</v>
      </c>
      <c r="L146" s="15">
        <v>45981</v>
      </c>
      <c r="M146" s="18">
        <v>37</v>
      </c>
      <c r="N146" s="14">
        <v>112</v>
      </c>
      <c r="O146" s="1">
        <v>112</v>
      </c>
      <c r="P146" s="1">
        <v>112</v>
      </c>
      <c r="Q146" s="1">
        <v>35</v>
      </c>
      <c r="R146" s="16">
        <v>9</v>
      </c>
      <c r="S146" s="16">
        <v>9</v>
      </c>
    </row>
    <row r="147" spans="1:19" x14ac:dyDescent="0.25">
      <c r="Q147" s="16"/>
      <c r="R147" s="16"/>
      <c r="S147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B45F-3398-44FA-81B3-CD0D9360405D}">
  <dimension ref="A1:K37"/>
  <sheetViews>
    <sheetView topLeftCell="D2" workbookViewId="0">
      <selection activeCell="H11" sqref="H11"/>
    </sheetView>
  </sheetViews>
  <sheetFormatPr defaultRowHeight="15" x14ac:dyDescent="0.25"/>
  <cols>
    <col min="2" max="2" width="19.140625" customWidth="1"/>
    <col min="3" max="3" width="55.85546875" customWidth="1"/>
    <col min="4" max="4" width="17.140625" customWidth="1"/>
    <col min="5" max="5" width="17.140625" style="1" customWidth="1"/>
    <col min="6" max="6" width="14.5703125" customWidth="1"/>
    <col min="7" max="7" width="17.7109375" customWidth="1"/>
    <col min="8" max="8" width="18.7109375" customWidth="1"/>
    <col min="9" max="9" width="14.7109375" customWidth="1"/>
    <col min="10" max="10" width="18" customWidth="1"/>
    <col min="11" max="11" width="25.42578125" customWidth="1"/>
  </cols>
  <sheetData>
    <row r="1" spans="1:11" s="1" customFormat="1" x14ac:dyDescent="0.25"/>
    <row r="2" spans="1:11" s="1" customFormat="1" ht="21" x14ac:dyDescent="0.35">
      <c r="B2" s="11" t="s">
        <v>30</v>
      </c>
      <c r="C2" s="1" t="s">
        <v>31</v>
      </c>
    </row>
    <row r="3" spans="1:11" s="1" customFormat="1" ht="21" x14ac:dyDescent="0.35">
      <c r="B3" s="11" t="s">
        <v>29</v>
      </c>
      <c r="C3" s="1" t="s">
        <v>33</v>
      </c>
      <c r="D3" s="1" t="s">
        <v>37</v>
      </c>
    </row>
    <row r="4" spans="1:11" s="1" customFormat="1" x14ac:dyDescent="0.25">
      <c r="C4" s="1" t="s">
        <v>34</v>
      </c>
      <c r="D4" s="1" t="s">
        <v>38</v>
      </c>
    </row>
    <row r="5" spans="1:11" s="1" customFormat="1" x14ac:dyDescent="0.25">
      <c r="C5" s="1" t="s">
        <v>35</v>
      </c>
      <c r="D5" s="1" t="s">
        <v>39</v>
      </c>
    </row>
    <row r="6" spans="1:11" s="1" customFormat="1" x14ac:dyDescent="0.25">
      <c r="C6" s="1" t="s">
        <v>36</v>
      </c>
      <c r="D6" s="1" t="s">
        <v>40</v>
      </c>
    </row>
    <row r="7" spans="1:11" s="1" customFormat="1" ht="15.75" thickBot="1" x14ac:dyDescent="0.3">
      <c r="C7" s="1" t="s">
        <v>14</v>
      </c>
    </row>
    <row r="8" spans="1:11" ht="15.75" thickBot="1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41</v>
      </c>
      <c r="F8" s="2" t="s">
        <v>32</v>
      </c>
      <c r="G8" s="19" t="s">
        <v>376</v>
      </c>
      <c r="H8" s="2" t="s">
        <v>375</v>
      </c>
      <c r="I8" s="2" t="s">
        <v>358</v>
      </c>
      <c r="J8" s="2" t="s">
        <v>377</v>
      </c>
      <c r="K8" s="3" t="s">
        <v>359</v>
      </c>
    </row>
    <row r="9" spans="1:11" ht="30.75" thickBot="1" x14ac:dyDescent="0.3">
      <c r="A9" s="4">
        <v>1</v>
      </c>
      <c r="B9" s="5" t="s">
        <v>14</v>
      </c>
      <c r="C9" s="5" t="s">
        <v>15</v>
      </c>
      <c r="D9" s="6" t="s">
        <v>16</v>
      </c>
      <c r="E9" s="6" t="s">
        <v>42</v>
      </c>
      <c r="F9" s="7"/>
      <c r="G9" s="7"/>
      <c r="H9" s="7"/>
      <c r="I9" s="7"/>
      <c r="J9" s="7"/>
      <c r="K9" s="5">
        <v>1</v>
      </c>
    </row>
    <row r="10" spans="1:11" ht="30.75" thickBot="1" x14ac:dyDescent="0.3">
      <c r="A10" s="4">
        <v>2</v>
      </c>
      <c r="B10" s="5" t="s">
        <v>14</v>
      </c>
      <c r="C10" s="5" t="s">
        <v>17</v>
      </c>
      <c r="D10" s="6" t="s">
        <v>16</v>
      </c>
      <c r="E10" s="6" t="s">
        <v>42</v>
      </c>
      <c r="F10" s="7"/>
      <c r="G10" s="7"/>
      <c r="H10" s="7"/>
      <c r="I10" s="7"/>
      <c r="J10" s="7"/>
      <c r="K10" s="5">
        <v>1</v>
      </c>
    </row>
    <row r="11" spans="1:11" ht="30.75" thickBot="1" x14ac:dyDescent="0.3">
      <c r="A11" s="4">
        <v>3</v>
      </c>
      <c r="B11" s="5" t="s">
        <v>14</v>
      </c>
      <c r="C11" s="5" t="s">
        <v>18</v>
      </c>
      <c r="D11" s="6" t="s">
        <v>16</v>
      </c>
      <c r="E11" s="6" t="s">
        <v>42</v>
      </c>
      <c r="F11" s="7"/>
      <c r="G11" s="7"/>
      <c r="H11" s="7"/>
      <c r="I11" s="7"/>
      <c r="J11" s="7"/>
      <c r="K11" s="5">
        <v>1</v>
      </c>
    </row>
    <row r="12" spans="1:11" ht="30.75" thickBot="1" x14ac:dyDescent="0.3">
      <c r="A12" s="4">
        <v>4</v>
      </c>
      <c r="B12" s="5" t="s">
        <v>14</v>
      </c>
      <c r="C12" s="5" t="s">
        <v>19</v>
      </c>
      <c r="D12" s="6" t="s">
        <v>16</v>
      </c>
      <c r="E12" s="6" t="s">
        <v>43</v>
      </c>
      <c r="F12" s="7"/>
      <c r="G12" s="7"/>
      <c r="H12" s="7"/>
      <c r="I12" s="7"/>
      <c r="J12" s="5">
        <v>1</v>
      </c>
      <c r="K12" s="7"/>
    </row>
    <row r="13" spans="1:11" ht="30.75" thickBot="1" x14ac:dyDescent="0.3">
      <c r="A13" s="4">
        <v>5</v>
      </c>
      <c r="B13" s="5" t="s">
        <v>14</v>
      </c>
      <c r="C13" s="5" t="s">
        <v>20</v>
      </c>
      <c r="D13" s="6" t="s">
        <v>16</v>
      </c>
      <c r="E13" s="6" t="s">
        <v>43</v>
      </c>
      <c r="F13" s="7"/>
      <c r="G13" s="7"/>
      <c r="H13" s="7"/>
      <c r="I13" s="7"/>
      <c r="J13" s="5">
        <v>1</v>
      </c>
      <c r="K13" s="7"/>
    </row>
    <row r="14" spans="1:11" ht="30.75" thickBot="1" x14ac:dyDescent="0.3">
      <c r="A14" s="4">
        <v>6</v>
      </c>
      <c r="B14" s="5" t="s">
        <v>14</v>
      </c>
      <c r="C14" s="5" t="s">
        <v>21</v>
      </c>
      <c r="D14" s="6" t="s">
        <v>16</v>
      </c>
      <c r="E14" s="6" t="s">
        <v>43</v>
      </c>
      <c r="F14" s="7"/>
      <c r="G14" s="7"/>
      <c r="H14" s="7"/>
      <c r="I14" s="7"/>
      <c r="J14" s="5">
        <v>1</v>
      </c>
      <c r="K14" s="7"/>
    </row>
    <row r="15" spans="1:11" ht="15.75" thickBot="1" x14ac:dyDescent="0.3">
      <c r="A15" s="4">
        <v>7</v>
      </c>
      <c r="B15" s="5" t="s">
        <v>14</v>
      </c>
      <c r="C15" s="5" t="s">
        <v>22</v>
      </c>
      <c r="D15" s="6" t="s">
        <v>16</v>
      </c>
      <c r="E15" s="6" t="s">
        <v>44</v>
      </c>
      <c r="F15" s="7"/>
      <c r="G15" s="7"/>
      <c r="H15" s="7"/>
      <c r="I15" s="7"/>
      <c r="J15" s="7"/>
      <c r="K15" s="7"/>
    </row>
    <row r="16" spans="1:11" ht="30.75" thickBot="1" x14ac:dyDescent="0.3">
      <c r="A16" s="4">
        <v>8</v>
      </c>
      <c r="B16" s="5" t="s">
        <v>14</v>
      </c>
      <c r="C16" s="5" t="s">
        <v>23</v>
      </c>
      <c r="D16" s="6" t="s">
        <v>16</v>
      </c>
      <c r="E16" s="6" t="s">
        <v>46</v>
      </c>
      <c r="F16" s="7"/>
      <c r="G16" s="7"/>
      <c r="H16" s="7"/>
      <c r="I16" s="7"/>
      <c r="J16" s="7"/>
      <c r="K16" s="7"/>
    </row>
    <row r="17" spans="1:11" ht="15.75" thickBot="1" x14ac:dyDescent="0.3">
      <c r="A17" s="4">
        <v>9</v>
      </c>
      <c r="B17" s="5" t="s">
        <v>14</v>
      </c>
      <c r="C17" s="5" t="s">
        <v>24</v>
      </c>
      <c r="D17" s="6" t="s">
        <v>16</v>
      </c>
      <c r="E17" s="6" t="s">
        <v>45</v>
      </c>
      <c r="F17" s="7"/>
      <c r="G17" s="7"/>
      <c r="H17" s="5">
        <v>1</v>
      </c>
      <c r="I17" s="7"/>
      <c r="J17" s="7"/>
      <c r="K17" s="7"/>
    </row>
    <row r="18" spans="1:11" ht="15.75" thickBot="1" x14ac:dyDescent="0.3">
      <c r="A18" s="4">
        <v>10</v>
      </c>
      <c r="B18" s="5" t="s">
        <v>14</v>
      </c>
      <c r="C18" s="5" t="s">
        <v>25</v>
      </c>
      <c r="D18" s="6" t="s">
        <v>16</v>
      </c>
      <c r="E18" s="6" t="s">
        <v>45</v>
      </c>
      <c r="F18" s="7"/>
      <c r="G18" s="7"/>
      <c r="H18" s="7"/>
      <c r="I18" s="7"/>
      <c r="J18" s="7"/>
      <c r="K18" s="7"/>
    </row>
    <row r="19" spans="1:11" ht="15.75" thickBot="1" x14ac:dyDescent="0.3">
      <c r="A19" s="4">
        <v>11</v>
      </c>
      <c r="B19" s="5" t="s">
        <v>14</v>
      </c>
      <c r="C19" s="5" t="s">
        <v>26</v>
      </c>
      <c r="D19" s="6" t="s">
        <v>16</v>
      </c>
      <c r="E19" s="6" t="s">
        <v>45</v>
      </c>
      <c r="F19" s="7"/>
      <c r="G19" s="7"/>
      <c r="H19" s="7"/>
      <c r="I19" s="7"/>
      <c r="J19" s="7"/>
      <c r="K19" s="7"/>
    </row>
    <row r="20" spans="1:11" ht="15.75" thickBot="1" x14ac:dyDescent="0.3">
      <c r="A20" s="4">
        <v>12</v>
      </c>
      <c r="B20" s="5" t="s">
        <v>14</v>
      </c>
      <c r="C20" s="5" t="s">
        <v>27</v>
      </c>
      <c r="D20" s="6" t="s">
        <v>16</v>
      </c>
      <c r="E20" s="6" t="s">
        <v>47</v>
      </c>
      <c r="F20" s="7"/>
      <c r="G20" s="5">
        <v>2</v>
      </c>
      <c r="H20" s="7"/>
      <c r="I20" s="7"/>
      <c r="J20" s="7"/>
      <c r="K20" s="7"/>
    </row>
    <row r="21" spans="1:11" ht="15.75" thickBot="1" x14ac:dyDescent="0.3">
      <c r="A21" s="4">
        <v>13</v>
      </c>
      <c r="B21" s="5" t="s">
        <v>14</v>
      </c>
      <c r="C21" s="5" t="s">
        <v>28</v>
      </c>
      <c r="D21" s="7" t="s">
        <v>16</v>
      </c>
      <c r="E21" s="7" t="s">
        <v>53</v>
      </c>
      <c r="F21" s="7"/>
      <c r="G21" s="7"/>
      <c r="H21" s="7"/>
      <c r="I21" s="7"/>
      <c r="J21" s="5">
        <v>10000</v>
      </c>
      <c r="K21" s="7"/>
    </row>
    <row r="28" spans="1:11" ht="15.75" thickBot="1" x14ac:dyDescent="0.3"/>
    <row r="29" spans="1:11" ht="30.75" thickBot="1" x14ac:dyDescent="0.3">
      <c r="B29" t="s">
        <v>38</v>
      </c>
      <c r="C29" s="5" t="s">
        <v>19</v>
      </c>
    </row>
    <row r="30" spans="1:11" ht="30.75" thickBot="1" x14ac:dyDescent="0.3">
      <c r="B30" s="1" t="s">
        <v>38</v>
      </c>
      <c r="C30" s="5" t="s">
        <v>20</v>
      </c>
    </row>
    <row r="31" spans="1:11" ht="30.75" thickBot="1" x14ac:dyDescent="0.3">
      <c r="B31" s="1" t="s">
        <v>38</v>
      </c>
      <c r="C31" s="5" t="s">
        <v>21</v>
      </c>
    </row>
    <row r="32" spans="1:11" ht="15.75" thickBot="1" x14ac:dyDescent="0.3">
      <c r="B32" s="1" t="s">
        <v>38</v>
      </c>
      <c r="C32" s="5" t="s">
        <v>22</v>
      </c>
    </row>
    <row r="33" spans="2:3" ht="15.75" thickBot="1" x14ac:dyDescent="0.3">
      <c r="B33" s="1" t="s">
        <v>38</v>
      </c>
      <c r="C33" s="5" t="s">
        <v>24</v>
      </c>
    </row>
    <row r="34" spans="2:3" ht="15.75" thickBot="1" x14ac:dyDescent="0.3">
      <c r="B34" s="1" t="s">
        <v>38</v>
      </c>
      <c r="C34" s="5" t="s">
        <v>25</v>
      </c>
    </row>
    <row r="35" spans="2:3" ht="15.75" thickBot="1" x14ac:dyDescent="0.3">
      <c r="B35" s="1" t="s">
        <v>38</v>
      </c>
      <c r="C35" s="5" t="s">
        <v>26</v>
      </c>
    </row>
    <row r="36" spans="2:3" ht="15.75" thickBot="1" x14ac:dyDescent="0.3">
      <c r="B36" s="1" t="s">
        <v>38</v>
      </c>
      <c r="C36" s="5" t="s">
        <v>27</v>
      </c>
    </row>
    <row r="37" spans="2:3" ht="15.75" thickBot="1" x14ac:dyDescent="0.3">
      <c r="B37" s="1" t="s">
        <v>38</v>
      </c>
      <c r="C37" s="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2FE0-0D6D-4E46-86A1-5E51CADAC4E5}">
  <dimension ref="A1:K60"/>
  <sheetViews>
    <sheetView topLeftCell="E14" workbookViewId="0">
      <selection activeCell="J37" sqref="J37"/>
    </sheetView>
  </sheetViews>
  <sheetFormatPr defaultRowHeight="24.95" customHeight="1" x14ac:dyDescent="0.25"/>
  <cols>
    <col min="4" max="4" width="72" customWidth="1"/>
    <col min="10" max="10" width="15.5703125" customWidth="1"/>
    <col min="11" max="11" width="76.85546875" customWidth="1"/>
  </cols>
  <sheetData>
    <row r="1" spans="1:11" ht="24.95" customHeight="1" x14ac:dyDescent="0.25">
      <c r="A1" s="1"/>
      <c r="B1" s="1"/>
      <c r="C1" s="20"/>
      <c r="D1" s="20"/>
      <c r="E1" s="20"/>
      <c r="F1" s="20"/>
      <c r="G1" s="1" t="s">
        <v>54</v>
      </c>
      <c r="H1" s="1"/>
      <c r="I1" s="1" t="s">
        <v>55</v>
      </c>
      <c r="J1" s="1"/>
      <c r="K1" s="1"/>
    </row>
    <row r="2" spans="1:11" ht="24.95" customHeight="1" x14ac:dyDescent="0.25">
      <c r="A2" s="1"/>
      <c r="B2" s="1"/>
      <c r="C2" s="1"/>
      <c r="D2" s="1"/>
      <c r="E2" s="1"/>
      <c r="F2" s="1"/>
      <c r="G2" s="1"/>
      <c r="H2" s="1" t="s">
        <v>56</v>
      </c>
      <c r="I2" s="1" t="s">
        <v>57</v>
      </c>
      <c r="J2" s="1" t="s">
        <v>58</v>
      </c>
      <c r="K2" s="1" t="s">
        <v>59</v>
      </c>
    </row>
    <row r="3" spans="1:11" ht="24.9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.95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5" t="s">
        <v>15</v>
      </c>
    </row>
    <row r="5" spans="1:11" ht="24.9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5" t="s">
        <v>17</v>
      </c>
    </row>
    <row r="6" spans="1:11" ht="24.95" customHeight="1" thickBot="1" x14ac:dyDescent="0.3">
      <c r="A6" s="1"/>
      <c r="B6" s="1"/>
      <c r="C6" s="1"/>
      <c r="D6" s="20" t="s">
        <v>59</v>
      </c>
      <c r="E6" s="20"/>
      <c r="F6" s="20"/>
      <c r="G6" s="1"/>
      <c r="H6" s="1"/>
      <c r="I6" s="1"/>
      <c r="J6" s="1"/>
      <c r="K6" s="5" t="s">
        <v>18</v>
      </c>
    </row>
    <row r="7" spans="1:11" ht="24.95" customHeight="1" thickBot="1" x14ac:dyDescent="0.3">
      <c r="A7" s="1"/>
      <c r="B7" s="1"/>
      <c r="C7" s="1"/>
      <c r="D7" s="20" t="s">
        <v>60</v>
      </c>
      <c r="E7" s="20"/>
      <c r="F7" s="1"/>
      <c r="G7" s="1"/>
      <c r="H7" s="1"/>
      <c r="I7" s="1"/>
      <c r="J7" s="1"/>
      <c r="K7" s="5" t="s">
        <v>19</v>
      </c>
    </row>
    <row r="8" spans="1:11" ht="24.95" customHeight="1" thickBot="1" x14ac:dyDescent="0.3">
      <c r="A8" s="1" t="s">
        <v>61</v>
      </c>
      <c r="B8" s="1"/>
      <c r="C8" s="1"/>
      <c r="D8" s="20"/>
      <c r="E8" s="20"/>
      <c r="F8" s="1"/>
      <c r="G8" s="1"/>
      <c r="H8" s="1"/>
      <c r="I8" s="1"/>
      <c r="J8" s="1"/>
      <c r="K8" s="5" t="s">
        <v>20</v>
      </c>
    </row>
    <row r="9" spans="1:11" ht="24.95" customHeight="1" thickBot="1" x14ac:dyDescent="0.3">
      <c r="A9" s="1" t="s">
        <v>62</v>
      </c>
      <c r="B9" s="1"/>
      <c r="C9" s="1"/>
      <c r="D9" s="1"/>
      <c r="E9" s="1"/>
      <c r="F9" s="1"/>
      <c r="G9" s="1"/>
      <c r="H9" s="1"/>
      <c r="I9" s="1"/>
      <c r="J9" s="1"/>
      <c r="K9" s="5" t="s">
        <v>21</v>
      </c>
    </row>
    <row r="10" spans="1:11" ht="24.95" customHeight="1" thickBot="1" x14ac:dyDescent="0.3">
      <c r="A10" s="1" t="s">
        <v>63</v>
      </c>
      <c r="B10" s="1"/>
      <c r="C10" s="1"/>
      <c r="D10" s="1"/>
      <c r="E10" s="1"/>
      <c r="F10" s="1"/>
      <c r="G10" s="1"/>
      <c r="H10" s="1"/>
      <c r="I10" s="1"/>
      <c r="J10" s="1"/>
      <c r="K10" s="5" t="s">
        <v>22</v>
      </c>
    </row>
    <row r="11" spans="1:11" ht="24.95" customHeight="1" thickBot="1" x14ac:dyDescent="0.3">
      <c r="A11" s="1" t="s">
        <v>64</v>
      </c>
      <c r="B11" s="1"/>
      <c r="C11" s="1"/>
      <c r="D11" s="1"/>
      <c r="E11" s="1"/>
      <c r="F11" s="1"/>
      <c r="G11" s="1"/>
      <c r="H11" s="1"/>
      <c r="I11" s="1"/>
      <c r="J11" s="1"/>
      <c r="K11" s="5" t="s">
        <v>23</v>
      </c>
    </row>
    <row r="12" spans="1:11" ht="24.95" customHeight="1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5" t="s">
        <v>24</v>
      </c>
    </row>
    <row r="13" spans="1:11" ht="24.95" customHeight="1" thickBot="1" x14ac:dyDescent="0.3">
      <c r="A13" s="1"/>
      <c r="B13" s="1"/>
      <c r="C13" s="1"/>
      <c r="D13" s="20"/>
      <c r="E13" s="20"/>
      <c r="F13" s="1"/>
      <c r="G13" s="1"/>
      <c r="H13" s="1"/>
      <c r="I13" s="1"/>
      <c r="J13" s="1"/>
      <c r="K13" s="5" t="s">
        <v>25</v>
      </c>
    </row>
    <row r="14" spans="1:11" ht="24.95" customHeight="1" thickBot="1" x14ac:dyDescent="0.3">
      <c r="A14" s="1" t="s">
        <v>65</v>
      </c>
      <c r="B14" s="1"/>
      <c r="C14" s="1"/>
      <c r="D14" s="1" t="s">
        <v>59</v>
      </c>
      <c r="E14" s="1" t="s">
        <v>66</v>
      </c>
      <c r="F14" s="1"/>
      <c r="G14" s="1"/>
      <c r="H14" s="1"/>
      <c r="I14" s="1"/>
      <c r="J14" s="1"/>
      <c r="K14" s="5" t="s">
        <v>26</v>
      </c>
    </row>
    <row r="15" spans="1:11" ht="24.95" customHeight="1" thickBot="1" x14ac:dyDescent="0.3">
      <c r="A15" s="1">
        <v>1</v>
      </c>
      <c r="B15" s="1"/>
      <c r="C15" s="1"/>
      <c r="D15" s="5" t="s">
        <v>15</v>
      </c>
      <c r="E15" s="1">
        <v>1</v>
      </c>
      <c r="F15" s="1" t="s">
        <v>67</v>
      </c>
      <c r="G15" s="1" t="s">
        <v>68</v>
      </c>
      <c r="H15" s="1"/>
      <c r="I15" s="1"/>
      <c r="J15" s="1"/>
      <c r="K15" s="5" t="s">
        <v>27</v>
      </c>
    </row>
    <row r="16" spans="1:11" ht="24.95" customHeight="1" thickBot="1" x14ac:dyDescent="0.3">
      <c r="A16" s="1">
        <v>2</v>
      </c>
      <c r="B16" s="1"/>
      <c r="C16" s="1"/>
      <c r="D16" s="5" t="s">
        <v>17</v>
      </c>
      <c r="E16" s="1">
        <v>1</v>
      </c>
      <c r="F16" s="1" t="s">
        <v>67</v>
      </c>
      <c r="G16" s="1" t="s">
        <v>68</v>
      </c>
      <c r="H16" s="1"/>
      <c r="I16" s="1"/>
      <c r="J16" s="1"/>
      <c r="K16" s="5" t="s">
        <v>28</v>
      </c>
    </row>
    <row r="17" spans="1:11" ht="24.95" customHeight="1" thickBot="1" x14ac:dyDescent="0.3">
      <c r="A17" s="1">
        <v>3</v>
      </c>
      <c r="B17" s="1"/>
      <c r="C17" s="1"/>
      <c r="D17" s="5" t="s">
        <v>18</v>
      </c>
      <c r="E17" s="1">
        <v>1</v>
      </c>
      <c r="F17" s="1" t="s">
        <v>67</v>
      </c>
      <c r="G17" s="1" t="s">
        <v>68</v>
      </c>
      <c r="H17" s="1"/>
      <c r="I17" s="1"/>
      <c r="J17" s="1"/>
      <c r="K17" s="1"/>
    </row>
    <row r="18" spans="1:11" ht="24.95" customHeight="1" thickBot="1" x14ac:dyDescent="0.3">
      <c r="A18" s="1">
        <v>4</v>
      </c>
      <c r="B18" s="1"/>
      <c r="C18" s="1"/>
      <c r="D18" s="5" t="s">
        <v>19</v>
      </c>
      <c r="E18" s="1">
        <v>1</v>
      </c>
      <c r="F18" s="1" t="s">
        <v>67</v>
      </c>
      <c r="G18" s="1" t="s">
        <v>68</v>
      </c>
      <c r="H18" s="1"/>
      <c r="I18" s="1"/>
      <c r="J18" s="1"/>
      <c r="K18" s="1"/>
    </row>
    <row r="19" spans="1:11" ht="24.95" customHeight="1" thickBot="1" x14ac:dyDescent="0.3">
      <c r="A19" s="1">
        <v>5</v>
      </c>
      <c r="B19" s="1"/>
      <c r="C19" s="1"/>
      <c r="D19" s="5" t="s">
        <v>20</v>
      </c>
      <c r="E19" s="1">
        <v>1</v>
      </c>
      <c r="F19" s="1" t="s">
        <v>67</v>
      </c>
      <c r="G19" s="1" t="s">
        <v>68</v>
      </c>
      <c r="H19" s="1"/>
      <c r="I19" s="1"/>
      <c r="J19" s="1"/>
      <c r="K19" s="1"/>
    </row>
    <row r="20" spans="1:11" ht="24.95" customHeight="1" thickBot="1" x14ac:dyDescent="0.3">
      <c r="A20" s="1">
        <v>6</v>
      </c>
      <c r="B20" s="1"/>
      <c r="C20" s="1"/>
      <c r="D20" s="5" t="s">
        <v>21</v>
      </c>
      <c r="E20" s="1">
        <v>1</v>
      </c>
      <c r="F20" s="1" t="s">
        <v>67</v>
      </c>
      <c r="G20" s="1" t="s">
        <v>68</v>
      </c>
      <c r="H20" s="1"/>
      <c r="I20" s="1"/>
      <c r="J20" s="1"/>
      <c r="K20" s="1"/>
    </row>
    <row r="21" spans="1:11" ht="24.95" customHeight="1" thickBot="1" x14ac:dyDescent="0.3">
      <c r="A21" s="1">
        <v>7</v>
      </c>
      <c r="B21" s="1"/>
      <c r="C21" s="1"/>
      <c r="D21" s="5" t="s">
        <v>22</v>
      </c>
      <c r="E21" s="1">
        <v>5</v>
      </c>
      <c r="F21" s="1" t="s">
        <v>67</v>
      </c>
      <c r="G21" s="1" t="s">
        <v>68</v>
      </c>
      <c r="H21" s="1"/>
      <c r="I21" s="1"/>
      <c r="J21" s="1"/>
      <c r="K21" s="1"/>
    </row>
    <row r="22" spans="1:11" ht="24.95" customHeight="1" thickBot="1" x14ac:dyDescent="0.3">
      <c r="A22" s="1">
        <v>8</v>
      </c>
      <c r="B22" s="1"/>
      <c r="C22" s="1"/>
      <c r="D22" s="5" t="s">
        <v>23</v>
      </c>
      <c r="E22" s="1">
        <v>4</v>
      </c>
      <c r="F22" s="1" t="s">
        <v>67</v>
      </c>
      <c r="G22" s="1" t="s">
        <v>68</v>
      </c>
      <c r="H22" s="1"/>
      <c r="I22" s="1"/>
      <c r="J22" s="1"/>
      <c r="K22" s="1"/>
    </row>
    <row r="23" spans="1:11" ht="24.95" customHeight="1" thickBot="1" x14ac:dyDescent="0.3">
      <c r="A23" s="1">
        <v>9</v>
      </c>
      <c r="B23" s="1"/>
      <c r="C23" s="1"/>
      <c r="D23" s="5" t="s">
        <v>24</v>
      </c>
      <c r="E23" s="1">
        <v>8</v>
      </c>
      <c r="F23" s="1" t="s">
        <v>67</v>
      </c>
      <c r="G23" s="1" t="s">
        <v>68</v>
      </c>
      <c r="H23" s="1"/>
      <c r="I23" s="1"/>
      <c r="J23" s="1"/>
      <c r="K23" s="1"/>
    </row>
    <row r="24" spans="1:11" ht="24.95" customHeight="1" thickBot="1" x14ac:dyDescent="0.3">
      <c r="A24" s="1">
        <v>10</v>
      </c>
      <c r="B24" s="1"/>
      <c r="C24" s="1"/>
      <c r="D24" s="5" t="s">
        <v>25</v>
      </c>
      <c r="E24" s="1">
        <v>8</v>
      </c>
      <c r="F24" s="1" t="s">
        <v>67</v>
      </c>
      <c r="G24" s="1" t="s">
        <v>68</v>
      </c>
      <c r="H24" s="1"/>
      <c r="I24" s="1"/>
      <c r="J24" s="1"/>
      <c r="K24" s="1"/>
    </row>
    <row r="25" spans="1:11" ht="24.95" customHeight="1" thickBot="1" x14ac:dyDescent="0.3">
      <c r="A25" s="1">
        <v>11</v>
      </c>
      <c r="B25" s="1"/>
      <c r="C25" s="1"/>
      <c r="D25" s="5" t="s">
        <v>26</v>
      </c>
      <c r="E25" s="1">
        <v>8</v>
      </c>
      <c r="F25" s="1" t="s">
        <v>67</v>
      </c>
      <c r="G25" s="1" t="s">
        <v>68</v>
      </c>
      <c r="H25" s="1"/>
      <c r="I25" s="1"/>
      <c r="J25" s="1"/>
      <c r="K25" s="1"/>
    </row>
    <row r="26" spans="1:11" ht="24.95" customHeight="1" thickBot="1" x14ac:dyDescent="0.3">
      <c r="A26" s="1">
        <v>12</v>
      </c>
      <c r="B26" s="1"/>
      <c r="C26" s="1"/>
      <c r="D26" s="5" t="s">
        <v>27</v>
      </c>
      <c r="E26" s="1">
        <v>1500</v>
      </c>
      <c r="F26" s="1" t="s">
        <v>67</v>
      </c>
      <c r="G26" s="1" t="s">
        <v>68</v>
      </c>
      <c r="H26" s="1"/>
      <c r="I26" s="1"/>
      <c r="J26" s="1"/>
      <c r="K26" s="1"/>
    </row>
    <row r="27" spans="1:11" ht="24.95" customHeight="1" thickBot="1" x14ac:dyDescent="0.3">
      <c r="A27" s="1">
        <v>13</v>
      </c>
      <c r="B27" s="1"/>
      <c r="C27" s="1"/>
      <c r="D27" s="5" t="s">
        <v>28</v>
      </c>
      <c r="E27" s="1">
        <v>60000</v>
      </c>
      <c r="F27" s="1" t="s">
        <v>67</v>
      </c>
      <c r="G27" s="1" t="s">
        <v>68</v>
      </c>
      <c r="H27" s="1"/>
      <c r="I27" s="1"/>
      <c r="J27" s="1"/>
      <c r="K27" s="1"/>
    </row>
    <row r="28" spans="1:11" ht="24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.95" customHeight="1" thickBot="1" x14ac:dyDescent="0.3">
      <c r="A30" s="1"/>
      <c r="B30" s="1"/>
      <c r="C30" s="1"/>
      <c r="D30" s="1"/>
      <c r="E30" s="1"/>
      <c r="F30" s="9" t="s">
        <v>69</v>
      </c>
      <c r="G30" s="9" t="s">
        <v>70</v>
      </c>
      <c r="H30" s="9" t="s">
        <v>71</v>
      </c>
      <c r="I30" s="9" t="s">
        <v>45</v>
      </c>
      <c r="J30" s="9" t="s">
        <v>47</v>
      </c>
      <c r="K30" s="9" t="s">
        <v>59</v>
      </c>
    </row>
    <row r="31" spans="1:11" ht="24.95" customHeight="1" thickBot="1" x14ac:dyDescent="0.3">
      <c r="A31" s="1"/>
      <c r="B31" s="1"/>
      <c r="C31" s="1"/>
      <c r="D31" s="5" t="s">
        <v>19</v>
      </c>
      <c r="E31" s="1"/>
      <c r="F31" s="8">
        <v>18000402</v>
      </c>
      <c r="G31" s="8" t="s">
        <v>72</v>
      </c>
      <c r="H31" s="8" t="s">
        <v>73</v>
      </c>
      <c r="I31" s="8">
        <v>2</v>
      </c>
      <c r="J31" s="8" t="s">
        <v>74</v>
      </c>
      <c r="K31" s="10" t="s">
        <v>21</v>
      </c>
    </row>
    <row r="32" spans="1:11" ht="24.95" customHeight="1" thickBot="1" x14ac:dyDescent="0.3">
      <c r="A32" s="1"/>
      <c r="B32" s="1"/>
      <c r="C32" s="1"/>
      <c r="D32" s="5" t="s">
        <v>20</v>
      </c>
      <c r="E32" s="1"/>
      <c r="F32" s="1"/>
      <c r="G32" s="1"/>
      <c r="H32" s="1"/>
      <c r="I32" s="1"/>
      <c r="J32" s="1"/>
      <c r="K32" s="1"/>
    </row>
    <row r="33" spans="1:11" ht="24.95" customHeight="1" thickBot="1" x14ac:dyDescent="0.3">
      <c r="A33" s="1"/>
      <c r="B33" s="1"/>
      <c r="C33" s="1"/>
      <c r="D33" s="5" t="s">
        <v>21</v>
      </c>
      <c r="E33" s="1"/>
      <c r="F33" s="1"/>
      <c r="G33" s="1"/>
      <c r="H33" s="1"/>
      <c r="I33" s="1"/>
      <c r="J33" s="1"/>
      <c r="K33" s="1"/>
    </row>
    <row r="34" spans="1:11" ht="24.95" customHeight="1" thickBot="1" x14ac:dyDescent="0.3">
      <c r="A34" s="1"/>
      <c r="B34" s="1"/>
      <c r="C34" s="1"/>
      <c r="D34" s="5" t="s">
        <v>22</v>
      </c>
      <c r="E34" s="1"/>
      <c r="F34" s="1"/>
      <c r="G34" s="1"/>
      <c r="H34" s="1"/>
      <c r="I34" s="1"/>
      <c r="J34" s="1"/>
      <c r="K34" s="1"/>
    </row>
    <row r="35" spans="1:11" ht="24.95" customHeight="1" thickBot="1" x14ac:dyDescent="0.3">
      <c r="A35" s="1"/>
      <c r="B35" s="1"/>
      <c r="C35" s="1"/>
      <c r="D35" s="5" t="s">
        <v>24</v>
      </c>
      <c r="E35" s="1"/>
      <c r="F35" s="1"/>
      <c r="G35" s="1"/>
      <c r="H35" s="1"/>
      <c r="I35" s="1"/>
      <c r="J35" s="1"/>
      <c r="K35" s="1"/>
    </row>
    <row r="36" spans="1:11" ht="24.95" customHeight="1" thickBot="1" x14ac:dyDescent="0.3">
      <c r="A36" s="1"/>
      <c r="B36" s="1"/>
      <c r="C36" s="1"/>
      <c r="D36" s="5" t="s">
        <v>25</v>
      </c>
      <c r="E36" s="1"/>
      <c r="F36" s="1"/>
      <c r="G36" s="1"/>
      <c r="H36" s="1"/>
      <c r="I36" s="1"/>
      <c r="J36" s="1"/>
      <c r="K36" s="1"/>
    </row>
    <row r="37" spans="1:11" ht="24.95" customHeight="1" thickBot="1" x14ac:dyDescent="0.3">
      <c r="A37" s="1"/>
      <c r="B37" s="1"/>
      <c r="C37" s="1"/>
      <c r="D37" s="5" t="s">
        <v>26</v>
      </c>
      <c r="E37" s="1"/>
      <c r="F37" s="1"/>
      <c r="G37" s="1"/>
      <c r="H37" s="1"/>
      <c r="I37" s="1"/>
      <c r="J37" s="1"/>
      <c r="K37" s="1"/>
    </row>
    <row r="38" spans="1:11" ht="24.95" customHeight="1" thickBot="1" x14ac:dyDescent="0.3">
      <c r="A38" s="1"/>
      <c r="B38" s="1"/>
      <c r="C38" s="1"/>
      <c r="D38" s="5" t="s">
        <v>27</v>
      </c>
      <c r="E38" s="1"/>
      <c r="F38" s="1"/>
      <c r="G38" s="1"/>
      <c r="H38" s="1"/>
      <c r="I38" s="1"/>
      <c r="J38" s="1"/>
      <c r="K38" s="1"/>
    </row>
    <row r="39" spans="1:11" ht="24.95" customHeight="1" thickBot="1" x14ac:dyDescent="0.3">
      <c r="A39" s="1"/>
      <c r="B39" s="1"/>
      <c r="C39" s="1"/>
      <c r="D39" s="5" t="s">
        <v>28</v>
      </c>
      <c r="E39" s="1"/>
      <c r="F39" s="1"/>
      <c r="G39" s="1"/>
      <c r="H39" s="1"/>
      <c r="I39" s="1"/>
      <c r="J39" s="1"/>
      <c r="K39" s="1"/>
    </row>
    <row r="40" spans="1:11" ht="24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.9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.9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.9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.9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.9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.9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.95" customHeight="1" x14ac:dyDescent="0.25">
      <c r="A47" s="1"/>
      <c r="B47" s="1"/>
      <c r="C47" s="1"/>
      <c r="D47" s="1"/>
      <c r="E47" s="1"/>
      <c r="F47" s="1"/>
      <c r="G47" s="1" t="s">
        <v>75</v>
      </c>
      <c r="H47" s="1"/>
      <c r="I47" s="1" t="s">
        <v>55</v>
      </c>
      <c r="J47" s="1"/>
      <c r="K47" s="1"/>
    </row>
    <row r="48" spans="1:11" ht="24.95" customHeight="1" x14ac:dyDescent="0.25">
      <c r="A48" s="1"/>
      <c r="B48" s="1"/>
      <c r="C48" s="1"/>
      <c r="D48" s="1"/>
      <c r="E48" s="1"/>
      <c r="F48" s="1"/>
      <c r="G48" s="1"/>
      <c r="H48" s="1" t="s">
        <v>56</v>
      </c>
      <c r="I48" s="1" t="s">
        <v>57</v>
      </c>
      <c r="J48" s="1" t="s">
        <v>58</v>
      </c>
      <c r="K48" s="1" t="s">
        <v>59</v>
      </c>
    </row>
    <row r="49" spans="1:11" ht="24.95" customHeight="1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.95" customHeight="1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5" t="s">
        <v>22</v>
      </c>
    </row>
    <row r="51" spans="1:11" ht="24.95" customHeight="1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5" t="s">
        <v>24</v>
      </c>
    </row>
    <row r="52" spans="1:11" ht="24.95" customHeight="1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5" t="s">
        <v>25</v>
      </c>
    </row>
    <row r="53" spans="1:11" ht="24.95" customHeight="1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5" t="s">
        <v>26</v>
      </c>
    </row>
    <row r="54" spans="1:11" ht="24.95" customHeight="1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5" t="s">
        <v>27</v>
      </c>
    </row>
    <row r="55" spans="1:11" ht="24.95" customHeight="1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5" t="s">
        <v>28</v>
      </c>
    </row>
    <row r="56" spans="1:11" ht="24.9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.9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.9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.95" customHeight="1" thickBot="1" x14ac:dyDescent="0.3">
      <c r="A59" s="1"/>
      <c r="B59" s="1"/>
      <c r="C59" s="1"/>
      <c r="D59" s="1"/>
      <c r="E59" s="1"/>
      <c r="F59" s="9" t="s">
        <v>69</v>
      </c>
      <c r="G59" s="9" t="s">
        <v>70</v>
      </c>
      <c r="H59" s="9" t="s">
        <v>71</v>
      </c>
      <c r="I59" s="9" t="s">
        <v>45</v>
      </c>
      <c r="J59" s="9" t="s">
        <v>47</v>
      </c>
      <c r="K59" s="9" t="s">
        <v>59</v>
      </c>
    </row>
    <row r="60" spans="1:11" ht="24.95" customHeight="1" thickBot="1" x14ac:dyDescent="0.3">
      <c r="A60" s="1"/>
      <c r="B60" s="1"/>
      <c r="C60" s="1"/>
      <c r="D60" s="1"/>
      <c r="E60" s="1"/>
      <c r="F60" s="8">
        <v>18000402</v>
      </c>
      <c r="G60" s="8" t="s">
        <v>72</v>
      </c>
      <c r="H60" s="8" t="s">
        <v>73</v>
      </c>
      <c r="I60" s="8">
        <v>2</v>
      </c>
      <c r="J60" s="8" t="s">
        <v>74</v>
      </c>
      <c r="K60" s="10" t="s">
        <v>21</v>
      </c>
    </row>
  </sheetData>
  <mergeCells count="5">
    <mergeCell ref="C1:F1"/>
    <mergeCell ref="D6:F6"/>
    <mergeCell ref="D7:E7"/>
    <mergeCell ref="D8:E8"/>
    <mergeCell ref="D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</vt:lpstr>
      <vt:lpstr>download</vt:lpstr>
      <vt:lpstr>prize fill</vt:lpstr>
      <vt:lpstr>prize 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2025-08-22T11:32:50Z</dcterms:created>
  <dcterms:modified xsi:type="dcterms:W3CDTF">2025-11-17T18:06:35Z</dcterms:modified>
</cp:coreProperties>
</file>